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egression Suite" sheetId="2" state="visible" r:id="rId4"/>
    <sheet name="Automation Candidates" sheetId="3" state="visible" r:id="rId5"/>
    <sheet name="Execution Steps" sheetId="4" state="visible" r:id="rId6"/>
    <sheet name="Summary" sheetId="5" state="visible" r:id="rId7"/>
    <sheet name="Evidence Register" sheetId="6" state="visible" r:id="rId8"/>
    <sheet name="Availability Check" sheetId="7" state="visible" r:id="rId9"/>
    <sheet name="Legend" sheetId="8" state="visible" r:id="rId10"/>
  </sheets>
  <definedNames>
    <definedName function="false" hidden="false" localSheetId="2" name="_xlnm.Print_Titles" vbProcedure="false">'Automation Candidates'!$1:$1</definedName>
    <definedName function="false" hidden="true" localSheetId="2" name="_xlnm._FilterDatabase" vbProcedure="false">'Automation Candidates'!$A$1:$J$6</definedName>
    <definedName function="false" hidden="false" localSheetId="6" name="_xlnm.Print_Titles" vbProcedure="false">'Availability Check'!$1:$1</definedName>
    <definedName function="false" hidden="true" localSheetId="6" name="_xlnm._FilterDatabase" vbProcedure="false">'Availability Check'!$A$1:$D$6</definedName>
    <definedName function="false" hidden="false" localSheetId="5" name="_xlnm.Print_Titles" vbProcedure="false">'Evidence Register'!$1:$1</definedName>
    <definedName function="false" hidden="true" localSheetId="5" name="_xlnm._FilterDatabase" vbProcedure="false">'Evidence Register'!$A$1:$I$18</definedName>
    <definedName function="false" hidden="false" localSheetId="3" name="_xlnm.Print_Titles" vbProcedure="false">'Execution Steps'!$1:$1</definedName>
    <definedName function="false" hidden="true" localSheetId="3" name="_xlnm._FilterDatabase" vbProcedure="false">'Execution Steps'!$A$1:$H$49</definedName>
    <definedName function="false" hidden="false" localSheetId="1" name="_xlnm.Print_Titles" vbProcedure="false">'Regression Suite'!$1:$1</definedName>
    <definedName function="false" hidden="true" localSheetId="1" name="_xlnm._FilterDatabase" vbProcedure="false">'Regression Suite'!$A$1:$H$12</definedName>
    <definedName function="false" hidden="false" localSheetId="0" name="_xlnm.Print_Titles" vbProcedure="false">'Test Cases'!$1:$1</definedName>
    <definedName function="false" hidden="true" localSheetId="0" name="_xlnm._FilterDatabase" vbProcedure="false">'Test Cases'!$A$1:$U$22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<sst xmlns="http://schemas.openxmlformats.org/spreadsheetml/2006/main" count="1152" uniqueCount="528">
  <si>
    <t xml:space="preserve">Test Case ID</t>
  </si>
  <si>
    <t xml:space="preserve">Requirement ID</t>
  </si>
  <si>
    <t xml:space="preserve">Module Name</t>
  </si>
  <si>
    <t xml:space="preserve">Feature Under Test</t>
  </si>
  <si>
    <t xml:space="preserve">Test Scenario</t>
  </si>
  <si>
    <t xml:space="preserve">Test Objective</t>
  </si>
  <si>
    <t xml:space="preserve">Test Type</t>
  </si>
  <si>
    <t xml:space="preserve">Test Technique</t>
  </si>
  <si>
    <t xml:space="preserve">Priority</t>
  </si>
  <si>
    <t xml:space="preserve">Severity</t>
  </si>
  <si>
    <t xml:space="preserve">Preconditions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</si>
  <si>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</si>
  <si>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</si>
  <si>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</si>
  <si>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</si>
  <si>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Executed By</t>
  </si>
  <si>
    <t xml:space="preserve">Execution Date</t>
  </si>
  <si>
    <t xml:space="preserve">Automation Recommended</t>
  </si>
  <si>
    <t xml:space="preserve">Automation Tool</t>
  </si>
  <si>
    <t xml:space="preserve">Screenshot Evidence ID</t>
  </si>
  <si>
    <t xml:space="preserve">Evidence Category</t>
  </si>
  <si>
    <t xml:space="preserve">TC001</t>
  </si>
  <si>
    <t xml:space="preserve">REQ-GFG-001</t>
  </si>
  <si>
    <t xml:space="preserve">Homepage and Navigation</t>
  </si>
  <si>
    <t xml:space="preserve">Homepage load</t>
  </si>
  <si>
    <t xml:space="preserve">Open the GeeksforGeeks homepage</t>
  </si>
  <si>
    <t xml:space="preserve">Verify the homepage loads with the site title and primary header menu (Courses, Tutorials, Interview Prep).</t>
  </si>
  <si>
    <t xml:space="preserve">Regression</t>
  </si>
  <si>
    <t xml:space="preserve">Black Box</t>
  </si>
  <si>
    <t xml:space="preserve">High</t>
  </si>
  <si>
    <t xml:space="preserve">Critical</t>
  </si>
  <si>
    <t xml:space="preserve">Internet available; Chrome installed</t>
  </si>
  <si>
    <t xml:space="preserve">URL: https://www.geeksforgeeks.org/</t>
  </si>
  <si>
    <t xml:space="preserve">Homepage loads; browser title contains 'GeeksforGeeks'; header shows Courses, Tutorials and Interview Prep menus.</t>
  </si>
  <si>
    <t xml:space="preserve">Not executed - no GeeksforGeeks screenshot/recording supplied</t>
  </si>
  <si>
    <t xml:space="preserve">To be filled</t>
  </si>
  <si>
    <t xml:space="preserve">Yes</t>
  </si>
  <si>
    <t xml:space="preserve">Selenium + Python</t>
  </si>
  <si>
    <t xml:space="preserve">S01</t>
  </si>
  <si>
    <t xml:space="preserve">TC002</t>
  </si>
  <si>
    <t xml:space="preserve">REQ-GFG-002</t>
  </si>
  <si>
    <t xml:space="preserve">Homepage to Courses navigation</t>
  </si>
  <si>
    <t xml:space="preserve">Use the homepage Courses 'View All' link</t>
  </si>
  <si>
    <t xml:space="preserve">Verify the 'View All' link in the homepage Courses section opens the Courses listing.</t>
  </si>
  <si>
    <t xml:space="preserve">Homepage loaded (TC001)</t>
  </si>
  <si>
    <t xml:space="preserve">Click 'View All' under Courses</t>
  </si>
  <si>
    <t xml:space="preserve">Browser navigates to the /courses page and the Courses listing is displayed.</t>
  </si>
  <si>
    <t xml:space="preserve">TC003</t>
  </si>
  <si>
    <t xml:space="preserve">REQ-GFG-003</t>
  </si>
  <si>
    <t xml:space="preserve">Footer navigation</t>
  </si>
  <si>
    <t xml:space="preserve">Open a footer Company link (e.g., About Us)</t>
  </si>
  <si>
    <t xml:space="preserve">Verify a footer link opens its target page without error.</t>
  </si>
  <si>
    <t xml:space="preserve">Medium</t>
  </si>
  <si>
    <t xml:space="preserve">Homepage loaded; footer reachable by scrolling</t>
  </si>
  <si>
    <t xml:space="preserve">Footer link: About Us</t>
  </si>
  <si>
    <t xml:space="preserve">The About Us page opens (HTTP page loads, no error page).</t>
  </si>
  <si>
    <t xml:space="preserve">S17</t>
  </si>
  <si>
    <t xml:space="preserve">TC004</t>
  </si>
  <si>
    <t xml:space="preserve">REQ-GFG-004</t>
  </si>
  <si>
    <t xml:space="preserve">Search and Tutorial/Article Navigation</t>
  </si>
  <si>
    <t xml:space="preserve">Site search - valid keyword</t>
  </si>
  <si>
    <t xml:space="preserve">Search for a valid keyword</t>
  </si>
  <si>
    <t xml:space="preserve">Verify that a valid search term returns related results.</t>
  </si>
  <si>
    <t xml:space="preserve">Functional</t>
  </si>
  <si>
    <t xml:space="preserve">Homepage loaded; search control visible</t>
  </si>
  <si>
    <t xml:space="preserve">Search term: binary search</t>
  </si>
  <si>
    <t xml:space="preserve">Search results/suggestions related to 'binary search' are displayed.</t>
  </si>
  <si>
    <t xml:space="preserve">S02</t>
  </si>
  <si>
    <t xml:space="preserve">TC005</t>
  </si>
  <si>
    <t xml:space="preserve">Site search - empty input (negative)</t>
  </si>
  <si>
    <t xml:space="preserve">Submit an empty search</t>
  </si>
  <si>
    <t xml:space="preserve">Verify the application handles empty search input gracefully.</t>
  </si>
  <si>
    <t xml:space="preserve">Negative</t>
  </si>
  <si>
    <t xml:space="preserve">Black Box (Boundary)</t>
  </si>
  <si>
    <t xml:space="preserve">Search control visible</t>
  </si>
  <si>
    <t xml:space="preserve">Search term: (empty)</t>
  </si>
  <si>
    <t xml:space="preserve">No crash or error page; the user stays on a usable page and no irrelevant results are shown.</t>
  </si>
  <si>
    <t xml:space="preserve">S13</t>
  </si>
  <si>
    <t xml:space="preserve">TC006</t>
  </si>
  <si>
    <t xml:space="preserve">Site search - no-match input (negative)</t>
  </si>
  <si>
    <t xml:space="preserve">Search for a meaningless string</t>
  </si>
  <si>
    <t xml:space="preserve">Verify a no-match search is handled with an empty-state/no-result response.</t>
  </si>
  <si>
    <t xml:space="preserve">Black Box (Equivalence)</t>
  </si>
  <si>
    <t xml:space="preserve">Search term: zzqxv9873!!</t>
  </si>
  <si>
    <t xml:space="preserve">No-results/empty state is shown without an error page.</t>
  </si>
  <si>
    <t xml:space="preserve">S14</t>
  </si>
  <si>
    <t xml:space="preserve">TC007</t>
  </si>
  <si>
    <t xml:space="preserve">REQ-GFG-005</t>
  </si>
  <si>
    <t xml:space="preserve">Tutorial/article loading</t>
  </si>
  <si>
    <t xml:space="preserve">Open the DSA Tutorial article</t>
  </si>
  <si>
    <t xml:space="preserve">Verify a tutorial article loads with its title, last-updated line and content sections.</t>
  </si>
  <si>
    <t xml:space="preserve">Internet available</t>
  </si>
  <si>
    <t xml:space="preserve">URL: /dsa/dsa-tutorial-learn-data-structures-and-algorithms/</t>
  </si>
  <si>
    <t xml:space="preserve">Page titled 'DSA Tutorial' loads with a 'Last Updated' line and topic sections (e.g., Searching, Sorting).</t>
  </si>
  <si>
    <t xml:space="preserve">S03</t>
  </si>
  <si>
    <t xml:space="preserve">TC008</t>
  </si>
  <si>
    <t xml:space="preserve">Article internal navigation</t>
  </si>
  <si>
    <t xml:space="preserve">Follow an internal topic link and return</t>
  </si>
  <si>
    <t xml:space="preserve">Verify an internal tutorial link opens a related article and Back returns to the tutorial.</t>
  </si>
  <si>
    <t xml:space="preserve">DSA Tutorial open (TC007)</t>
  </si>
  <si>
    <t xml:space="preserve">Click the 'Searching' theory link, then browser Back</t>
  </si>
  <si>
    <t xml:space="preserve">Related article opens; Back returns to the DSA Tutorial page.</t>
  </si>
  <si>
    <t xml:space="preserve">TC009</t>
  </si>
  <si>
    <t xml:space="preserve">REQ-GFG-006</t>
  </si>
  <si>
    <t xml:space="preserve">Coding Practice / Problem Details</t>
  </si>
  <si>
    <t xml:space="preserve">Practice problems list</t>
  </si>
  <si>
    <t xml:space="preserve">Open the Practice (Explore &amp; Practice) page</t>
  </si>
  <si>
    <t xml:space="preserve">Verify the practice list page loads with its filters.</t>
  </si>
  <si>
    <t xml:space="preserve">URL: /explore</t>
  </si>
  <si>
    <t xml:space="preserve">'Explore &amp; Practice' page loads showing a problem list with Topic, Difficulty, Company and Sort controls.</t>
  </si>
  <si>
    <t xml:space="preserve">S04</t>
  </si>
  <si>
    <t xml:space="preserve">TC010</t>
  </si>
  <si>
    <t xml:space="preserve">Practice topic filter</t>
  </si>
  <si>
    <t xml:space="preserve">Apply a topic filter (Arrays)</t>
  </si>
  <si>
    <t xml:space="preserve">Verify selecting a topic updates the problem list.</t>
  </si>
  <si>
    <t xml:space="preserve">Practice page loaded (TC009)</t>
  </si>
  <si>
    <t xml:space="preserve">Topic: Arrays</t>
  </si>
  <si>
    <t xml:space="preserve">List is limited to problems tagged with the selected topic.</t>
  </si>
  <si>
    <t xml:space="preserve">TC011</t>
  </si>
  <si>
    <t xml:space="preserve">REQ-GFG-007</t>
  </si>
  <si>
    <t xml:space="preserve">Problem details page</t>
  </si>
  <si>
    <t xml:space="preserve">Open a problem from the list</t>
  </si>
  <si>
    <t xml:space="preserve">Verify the problem details page shows the statement and an editor area.</t>
  </si>
  <si>
    <t xml:space="preserve">Practice list loaded</t>
  </si>
  <si>
    <t xml:space="preserve">Any listed problem</t>
  </si>
  <si>
    <t xml:space="preserve">Problem page opens with title, statement/examples and a code-editor area (login prompt acceptable where required).</t>
  </si>
  <si>
    <t xml:space="preserve">Partial</t>
  </si>
  <si>
    <t xml:space="preserve">Selenium (page load only)</t>
  </si>
  <si>
    <t xml:space="preserve">S05</t>
  </si>
  <si>
    <t xml:space="preserve">TC012</t>
  </si>
  <si>
    <t xml:space="preserve">Code run / submit</t>
  </si>
  <si>
    <t xml:space="preserve">Run a sample solution in the code editor</t>
  </si>
  <si>
    <t xml:space="preserve">Verify code can be run or that a login prompt is shown when sign-in is required.</t>
  </si>
  <si>
    <t xml:space="preserve">Problem page open; account may be required</t>
  </si>
  <si>
    <t xml:space="preserve">Short sample solution in your own code</t>
  </si>
  <si>
    <t xml:space="preserve">Output/verdict is displayed, or the site asks the user to sign in first.</t>
  </si>
  <si>
    <t xml:space="preserve">No</t>
  </si>
  <si>
    <t xml:space="preserve">Manual</t>
  </si>
  <si>
    <t xml:space="preserve">S06</t>
  </si>
  <si>
    <t xml:space="preserve">TC013</t>
  </si>
  <si>
    <t xml:space="preserve">REQ-GFG-008</t>
  </si>
  <si>
    <t xml:space="preserve">Courses Listing / Course Details</t>
  </si>
  <si>
    <t xml:space="preserve">Courses listing</t>
  </si>
  <si>
    <t xml:space="preserve">Open the Courses page</t>
  </si>
  <si>
    <t xml:space="preserve">Verify the Courses listing loads with its sections.</t>
  </si>
  <si>
    <t xml:space="preserve">URL: /courses</t>
  </si>
  <si>
    <t xml:space="preserve">Page titled 'GeeksforGeeks Courses' loads with 'Popular Now', 'Course Categories' and 'Live Courses' sections.</t>
  </si>
  <si>
    <t xml:space="preserve">S07</t>
  </si>
  <si>
    <t xml:space="preserve">TC014</t>
  </si>
  <si>
    <t xml:space="preserve">Course category navigation</t>
  </si>
  <si>
    <t xml:space="preserve">Open a course category (GATE)</t>
  </si>
  <si>
    <t xml:space="preserve">Verify a category link opens its category page.</t>
  </si>
  <si>
    <t xml:space="preserve">Courses page loaded (TC013)</t>
  </si>
  <si>
    <t xml:space="preserve">Category: GATE</t>
  </si>
  <si>
    <t xml:space="preserve">The GATE category page opens and lists course cards.</t>
  </si>
  <si>
    <t xml:space="preserve">TC015</t>
  </si>
  <si>
    <t xml:space="preserve">REQ-GFG-009</t>
  </si>
  <si>
    <t xml:space="preserve">Course details page</t>
  </si>
  <si>
    <t xml:space="preserve">Open a course from the listing</t>
  </si>
  <si>
    <t xml:space="preserve">Verify the course details page loads with its title and description; no enrolment or payment.</t>
  </si>
  <si>
    <t xml:space="preserve">Courses page loaded</t>
  </si>
  <si>
    <t xml:space="preserve">Course: DSA &amp; System Design Course</t>
  </si>
  <si>
    <t xml:space="preserve">Course details page opens with course title and description. (No purchase attempted.)</t>
  </si>
  <si>
    <t xml:space="preserve">S08</t>
  </si>
  <si>
    <t xml:space="preserve">TC016</t>
  </si>
  <si>
    <t xml:space="preserve">Invalid course URL (negative)</t>
  </si>
  <si>
    <t xml:space="preserve">Open a non-existent course path</t>
  </si>
  <si>
    <t xml:space="preserve">Verify an invalid course URL is handled gracefully.</t>
  </si>
  <si>
    <t xml:space="preserve">Black Box (Error guessing)</t>
  </si>
  <si>
    <t xml:space="preserve">URL: /courses/invalid-course-xyz-000</t>
  </si>
  <si>
    <t xml:space="preserve">A not-found page or a redirect is shown; no server-error/blank page.</t>
  </si>
  <si>
    <t xml:space="preserve">S15</t>
  </si>
  <si>
    <t xml:space="preserve">TC017</t>
  </si>
  <si>
    <t xml:space="preserve">REQ-GFG-010</t>
  </si>
  <si>
    <t xml:space="preserve">Login / Profile / Logout</t>
  </si>
  <si>
    <t xml:space="preserve">Login page access</t>
  </si>
  <si>
    <t xml:space="preserve">Open the sign-in screen</t>
  </si>
  <si>
    <t xml:space="preserve">Verify the sign-in screen can be opened from the site.</t>
  </si>
  <si>
    <t xml:space="preserve">Logged-out browser session</t>
  </si>
  <si>
    <t xml:space="preserve">Use the site's sign-in control</t>
  </si>
  <si>
    <t xml:space="preserve">Sign-in screen/form is displayed with its available sign-in options.</t>
  </si>
  <si>
    <t xml:space="preserve">Manual + Selenium (render check only)</t>
  </si>
  <si>
    <t xml:space="preserve">S09</t>
  </si>
  <si>
    <t xml:space="preserve">TC018</t>
  </si>
  <si>
    <t xml:space="preserve">Login - invalid credentials (negative)</t>
  </si>
  <si>
    <t xml:space="preserve">Attempt one sign-in with invalid credentials</t>
  </si>
  <si>
    <t xml:space="preserve">Verify invalid credentials are rejected with a message.</t>
  </si>
  <si>
    <t xml:space="preserve">Sign-in screen open (TC017)</t>
  </si>
  <si>
    <t xml:space="preserve">Dummy email + wrong password (single attempt)</t>
  </si>
  <si>
    <t xml:space="preserve">Sign-in is rejected with an error message; no session is created.</t>
  </si>
  <si>
    <t xml:space="preserve">S16</t>
  </si>
  <si>
    <t xml:space="preserve">TC019</t>
  </si>
  <si>
    <t xml:space="preserve">Login - valid credentials</t>
  </si>
  <si>
    <t xml:space="preserve">Sign in with your own account</t>
  </si>
  <si>
    <t xml:space="preserve">Verify authentication completes (with any CAPTCHA/OTP done manually).</t>
  </si>
  <si>
    <t xml:space="preserve">Own valid account; sign-in screen open</t>
  </si>
  <si>
    <t xml:space="preserve">Own account; CAPTCHA/OTP manual</t>
  </si>
  <si>
    <t xml:space="preserve">User is signed in and the site shows a logged-in state.</t>
  </si>
  <si>
    <t xml:space="preserve">S10</t>
  </si>
  <si>
    <t xml:space="preserve">TC020</t>
  </si>
  <si>
    <t xml:space="preserve">REQ-GFG-011</t>
  </si>
  <si>
    <t xml:space="preserve">Profile page</t>
  </si>
  <si>
    <t xml:space="preserve">Open the profile/account page after login</t>
  </si>
  <si>
    <t xml:space="preserve">Verify the profile page loads for the signed-in user.</t>
  </si>
  <si>
    <t xml:space="preserve">Signed in (TC019)</t>
  </si>
  <si>
    <t xml:space="preserve">Own profile</t>
  </si>
  <si>
    <t xml:space="preserve">Profile/account page loads with user details.</t>
  </si>
  <si>
    <t xml:space="preserve">S11</t>
  </si>
  <si>
    <t xml:space="preserve">TC021</t>
  </si>
  <si>
    <t xml:space="preserve">REQ-GFG-012</t>
  </si>
  <si>
    <t xml:space="preserve">Logout</t>
  </si>
  <si>
    <t xml:space="preserve">Sign out and verify logged-out state</t>
  </si>
  <si>
    <t xml:space="preserve">Verify sign-out ends the session.</t>
  </si>
  <si>
    <t xml:space="preserve">Use the site's sign-out control</t>
  </si>
  <si>
    <t xml:space="preserve">User returns to a logged-out state; sign-in option is shown again.</t>
  </si>
  <si>
    <t xml:space="preserve">S12</t>
  </si>
  <si>
    <t xml:space="preserve">Regression Test ID</t>
  </si>
  <si>
    <t xml:space="preserve">Related Test Case ID</t>
  </si>
  <si>
    <t xml:space="preserve">Module</t>
  </si>
  <si>
    <t xml:space="preserve">Scenario</t>
  </si>
  <si>
    <t xml:space="preserve">Evidence ID</t>
  </si>
  <si>
    <t xml:space="preserve">RT001</t>
  </si>
  <si>
    <t xml:space="preserve">Open homepage and verify header menu</t>
  </si>
  <si>
    <t xml:space="preserve">Homepage loads with Courses, Tutorials and Interview Prep menus.</t>
  </si>
  <si>
    <t xml:space="preserve">RT002</t>
  </si>
  <si>
    <t xml:space="preserve">Homepage Courses 'View All' navigation</t>
  </si>
  <si>
    <t xml:space="preserve">Courses listing is displayed.</t>
  </si>
  <si>
    <t xml:space="preserve">RT003</t>
  </si>
  <si>
    <t xml:space="preserve">Search a valid keyword</t>
  </si>
  <si>
    <t xml:space="preserve">Related search results are displayed.</t>
  </si>
  <si>
    <t xml:space="preserve">RT004</t>
  </si>
  <si>
    <t xml:space="preserve">Search a no-match string</t>
  </si>
  <si>
    <t xml:space="preserve">No-results state without error page.</t>
  </si>
  <si>
    <t xml:space="preserve">RT005</t>
  </si>
  <si>
    <t xml:space="preserve">Open DSA Tutorial article</t>
  </si>
  <si>
    <t xml:space="preserve">Article loads with title, last-updated line and sections.</t>
  </si>
  <si>
    <t xml:space="preserve">RT006</t>
  </si>
  <si>
    <t xml:space="preserve">Open Practice problem list</t>
  </si>
  <si>
    <t xml:space="preserve">Problem list and filters are displayed.</t>
  </si>
  <si>
    <t xml:space="preserve">RT007</t>
  </si>
  <si>
    <t xml:space="preserve">Open a problem details page</t>
  </si>
  <si>
    <t xml:space="preserve">Problem statement and editor area are displayed.</t>
  </si>
  <si>
    <t xml:space="preserve">RT008</t>
  </si>
  <si>
    <t xml:space="preserve">Open Courses listing</t>
  </si>
  <si>
    <t xml:space="preserve">Courses sections and course cards are displayed.</t>
  </si>
  <si>
    <t xml:space="preserve">RT009</t>
  </si>
  <si>
    <t xml:space="preserve">Open a course details page</t>
  </si>
  <si>
    <t xml:space="preserve">Course details page loads with title/description.</t>
  </si>
  <si>
    <t xml:space="preserve">RT010</t>
  </si>
  <si>
    <t xml:space="preserve">Open sign-in screen</t>
  </si>
  <si>
    <t xml:space="preserve">Sign-in screen is displayed.</t>
  </si>
  <si>
    <t xml:space="preserve">RT011</t>
  </si>
  <si>
    <t xml:space="preserve">Logout from a signed-in session</t>
  </si>
  <si>
    <t xml:space="preserve">User returns to logged-out state.</t>
  </si>
  <si>
    <t xml:space="preserve">Criticality</t>
  </si>
  <si>
    <t xml:space="preserve">Frequency of Use</t>
  </si>
  <si>
    <t xml:space="preserve">Frequently Changed</t>
  </si>
  <si>
    <t xml:space="preserve">Repetitive</t>
  </si>
  <si>
    <t xml:space="preserve">Stable</t>
  </si>
  <si>
    <t xml:space="preserve">Security / Auth Restriction</t>
  </si>
  <si>
    <t xml:space="preserve">Reason</t>
  </si>
  <si>
    <t xml:space="preserve">Tool</t>
  </si>
  <si>
    <t xml:space="preserve">Very High</t>
  </si>
  <si>
    <t xml:space="preserve">Yes (promotional content)</t>
  </si>
  <si>
    <t xml:space="preserve">Partly</t>
  </si>
  <si>
    <t xml:space="preserve">None (public pages)</t>
  </si>
  <si>
    <t xml:space="preserve">Structure (title, menus, links) is repetitive; assert structure only, not banners/offers that change.</t>
  </si>
  <si>
    <t xml:space="preserve">Selenium WebDriver + Python</t>
  </si>
  <si>
    <t xml:space="preserve">Partly (article text updates)</t>
  </si>
  <si>
    <t xml:space="preserve">Yes (structure)</t>
  </si>
  <si>
    <t xml:space="preserve">Repeated search and article-open checks; assert non-empty results/headings, not result ranking or article text.</t>
  </si>
  <si>
    <t xml:space="preserve">Yes (counts, UI)</t>
  </si>
  <si>
    <t xml:space="preserve">Sign-in may be required to run/submit code</t>
  </si>
  <si>
    <t xml:space="preserve">Automate list, filter and problem-page load; keep code run/submit manual (sign-in, judge, abuse limits).</t>
  </si>
  <si>
    <t xml:space="preserve">Selenium (load checks) + Manual</t>
  </si>
  <si>
    <t xml:space="preserve">Yes (prices, offers, seats)</t>
  </si>
  <si>
    <t xml:space="preserve">None to browse; payment out of scope</t>
  </si>
  <si>
    <t xml:space="preserve">Repeatable listing/detail checks; assert structure, never prices/seat counts; no enrolment or payment.</t>
  </si>
  <si>
    <t xml:space="preserve">CAPTCHA/OTP/credentials</t>
  </si>
  <si>
    <t xml:space="preserve">Keep credentialed login, profile and logout manual; only sign-in screen render may be scripted.</t>
  </si>
  <si>
    <t xml:space="preserve">Manual + Selenium (render check)</t>
  </si>
  <si>
    <t xml:space="preserve">Step No.</t>
  </si>
  <si>
    <t xml:space="preserve">Test Case</t>
  </si>
  <si>
    <t xml:space="preserve">Test Step</t>
  </si>
  <si>
    <t xml:space="preserve">Input</t>
  </si>
  <si>
    <t xml:space="preserve">Launch Chrome and open the GeeksforGeeks URL</t>
  </si>
  <si>
    <t xml:space="preserve">https://www.geeksforgeeks.org/</t>
  </si>
  <si>
    <t xml:space="preserve">Homepage loads</t>
  </si>
  <si>
    <t xml:space="preserve">Not Executed</t>
  </si>
  <si>
    <t xml:space="preserve">Check the browser tab title</t>
  </si>
  <si>
    <t xml:space="preserve">-</t>
  </si>
  <si>
    <t xml:space="preserve">Title contains 'GeeksforGeeks'</t>
  </si>
  <si>
    <t xml:space="preserve">Check the header menu</t>
  </si>
  <si>
    <t xml:space="preserve">Courses, Tutorials, Interview Prep visible</t>
  </si>
  <si>
    <t xml:space="preserve">Scroll to the Courses section</t>
  </si>
  <si>
    <t xml:space="preserve">Courses section visible</t>
  </si>
  <si>
    <t xml:space="preserve">Click 'View All'</t>
  </si>
  <si>
    <t xml:space="preserve">Click View All</t>
  </si>
  <si>
    <t xml:space="preserve">Courses listing (/courses) opens</t>
  </si>
  <si>
    <t xml:space="preserve">Scroll to the footer</t>
  </si>
  <si>
    <t xml:space="preserve">Footer Company links visible</t>
  </si>
  <si>
    <t xml:space="preserve">Click 'About Us'</t>
  </si>
  <si>
    <t xml:space="preserve">Click About Us</t>
  </si>
  <si>
    <t xml:space="preserve">About Us page opens without error</t>
  </si>
  <si>
    <t xml:space="preserve">Activate the search control</t>
  </si>
  <si>
    <t xml:space="preserve">Click search icon</t>
  </si>
  <si>
    <t xml:space="preserve">Search input is available</t>
  </si>
  <si>
    <t xml:space="preserve">Enter the keyword and submit</t>
  </si>
  <si>
    <t xml:space="preserve">binary search</t>
  </si>
  <si>
    <t xml:space="preserve">Related results/suggestions displayed</t>
  </si>
  <si>
    <t xml:space="preserve">Submit without typing</t>
  </si>
  <si>
    <t xml:space="preserve">(empty)</t>
  </si>
  <si>
    <t xml:space="preserve">No error page; usable page remains</t>
  </si>
  <si>
    <t xml:space="preserve">Enter meaningless text and submit</t>
  </si>
  <si>
    <t xml:space="preserve">zzqxv9873!!</t>
  </si>
  <si>
    <t xml:space="preserve">No-results state; no error page</t>
  </si>
  <si>
    <t xml:space="preserve">Open the DSA Tutorial URL</t>
  </si>
  <si>
    <t xml:space="preserve">/dsa/dsa-tutorial-learn-data-structures-and-algorithms/</t>
  </si>
  <si>
    <t xml:space="preserve">Article loads</t>
  </si>
  <si>
    <t xml:space="preserve">Verify title and last-updated line</t>
  </si>
  <si>
    <t xml:space="preserve">'DSA Tutorial' and 'Last Updated' shown</t>
  </si>
  <si>
    <t xml:space="preserve">Verify topic sections</t>
  </si>
  <si>
    <t xml:space="preserve">Sections such as Searching and Sorting listed</t>
  </si>
  <si>
    <t xml:space="preserve">Click the 'Searching' theory link</t>
  </si>
  <si>
    <t xml:space="preserve">Click link</t>
  </si>
  <si>
    <t xml:space="preserve">Related article opens</t>
  </si>
  <si>
    <t xml:space="preserve">Press browser Back</t>
  </si>
  <si>
    <t xml:space="preserve">Browser Back</t>
  </si>
  <si>
    <t xml:space="preserve">DSA Tutorial page shown again</t>
  </si>
  <si>
    <t xml:space="preserve">Open the Practice page</t>
  </si>
  <si>
    <t xml:space="preserve">/explore</t>
  </si>
  <si>
    <t xml:space="preserve">Page loads</t>
  </si>
  <si>
    <t xml:space="preserve">Verify heading and filters</t>
  </si>
  <si>
    <t xml:space="preserve">'Explore &amp; Practice' heading; Topic/Difficulty/Company/Sort controls visible</t>
  </si>
  <si>
    <t xml:space="preserve">Open the Topic filter</t>
  </si>
  <si>
    <t xml:space="preserve">Click Topic</t>
  </si>
  <si>
    <t xml:space="preserve">Topic options displayed</t>
  </si>
  <si>
    <t xml:space="preserve">Select 'Arrays'</t>
  </si>
  <si>
    <t xml:space="preserve">List updates to Arrays problems</t>
  </si>
  <si>
    <t xml:space="preserve">List displayed</t>
  </si>
  <si>
    <t xml:space="preserve">Click a problem</t>
  </si>
  <si>
    <t xml:space="preserve">Any problem</t>
  </si>
  <si>
    <t xml:space="preserve">Problem page opens</t>
  </si>
  <si>
    <t xml:space="preserve">Verify statement and editor area</t>
  </si>
  <si>
    <t xml:space="preserve">Statement/examples and editor area (or login prompt) displayed</t>
  </si>
  <si>
    <t xml:space="preserve">Open a problem page</t>
  </si>
  <si>
    <t xml:space="preserve">Enter a short sample solution</t>
  </si>
  <si>
    <t xml:space="preserve">Own sample code</t>
  </si>
  <si>
    <t xml:space="preserve">Code accepted in editor</t>
  </si>
  <si>
    <t xml:space="preserve">Click Run (or equivalent)</t>
  </si>
  <si>
    <t xml:space="preserve">Click Run</t>
  </si>
  <si>
    <t xml:space="preserve">Output shown or sign-in prompt shown</t>
  </si>
  <si>
    <t xml:space="preserve">/courses</t>
  </si>
  <si>
    <t xml:space="preserve">Verify sections</t>
  </si>
  <si>
    <t xml:space="preserve">'Popular Now', 'Course Categories', 'Live Courses' visible</t>
  </si>
  <si>
    <t xml:space="preserve">Click the GATE category</t>
  </si>
  <si>
    <t xml:space="preserve">Category page opens</t>
  </si>
  <si>
    <t xml:space="preserve">Verify course cards</t>
  </si>
  <si>
    <t xml:space="preserve">Course cards listed</t>
  </si>
  <si>
    <t xml:space="preserve">Click a course card from the listing</t>
  </si>
  <si>
    <t xml:space="preserve">DSA &amp; System Design Course</t>
  </si>
  <si>
    <t xml:space="preserve">Course details page opens</t>
  </si>
  <si>
    <t xml:space="preserve">Verify title and description (do not enrol or pay)</t>
  </si>
  <si>
    <t xml:space="preserve">Title and description displayed</t>
  </si>
  <si>
    <t xml:space="preserve">Open a non-existent course URL</t>
  </si>
  <si>
    <t xml:space="preserve">/courses/invalid-course-xyz-000</t>
  </si>
  <si>
    <t xml:space="preserve">Not-found page or redirect</t>
  </si>
  <si>
    <t xml:space="preserve">Verify no server error</t>
  </si>
  <si>
    <t xml:space="preserve">No blank/server-error page</t>
  </si>
  <si>
    <t xml:space="preserve">Click the site's sign-in control</t>
  </si>
  <si>
    <t xml:space="preserve">Click Sign In</t>
  </si>
  <si>
    <t xml:space="preserve">Sign-in screen opens</t>
  </si>
  <si>
    <t xml:space="preserve">Verify available sign-in options</t>
  </si>
  <si>
    <t xml:space="preserve">Sign-in form/options displayed</t>
  </si>
  <si>
    <t xml:space="preserve">Sign-in screen visible</t>
  </si>
  <si>
    <t xml:space="preserve">Submit invalid credentials once</t>
  </si>
  <si>
    <t xml:space="preserve">Dummy email + wrong password</t>
  </si>
  <si>
    <t xml:space="preserve">Rejection message; no session</t>
  </si>
  <si>
    <t xml:space="preserve">Enter own credentials</t>
  </si>
  <si>
    <t xml:space="preserve">Own account</t>
  </si>
  <si>
    <t xml:space="preserve">Credentials accepted for verification</t>
  </si>
  <si>
    <t xml:space="preserve">Complete CAPTCHA/OTP manually if shown</t>
  </si>
  <si>
    <t xml:space="preserve">Authentication proceeds</t>
  </si>
  <si>
    <t xml:space="preserve">Verify logged-in state</t>
  </si>
  <si>
    <t xml:space="preserve">Logged-in state displayed</t>
  </si>
  <si>
    <t xml:space="preserve">Open the profile/account page</t>
  </si>
  <si>
    <t xml:space="preserve">Profile control</t>
  </si>
  <si>
    <t xml:space="preserve">Profile page opens</t>
  </si>
  <si>
    <t xml:space="preserve">Verify user details are displayed</t>
  </si>
  <si>
    <t xml:space="preserve">Details displayed</t>
  </si>
  <si>
    <t xml:space="preserve">Click sign-out</t>
  </si>
  <si>
    <t xml:space="preserve">Sign-out control</t>
  </si>
  <si>
    <t xml:space="preserve">Session ends</t>
  </si>
  <si>
    <t xml:space="preserve">Verify logged-out state</t>
  </si>
  <si>
    <t xml:space="preserve">Sign-in option displayed again</t>
  </si>
  <si>
    <t xml:space="preserve">Metric</t>
  </si>
  <si>
    <t xml:space="preserve">Value</t>
  </si>
  <si>
    <t xml:space="preserve">Basis / Notes</t>
  </si>
  <si>
    <t xml:space="preserve">Total modules analyzed</t>
  </si>
  <si>
    <t xml:space="preserve">Count of modules on Automation Candidates</t>
  </si>
  <si>
    <t xml:space="preserve">Total detailed test cases</t>
  </si>
  <si>
    <t xml:space="preserve">Count of TC IDs</t>
  </si>
  <si>
    <t xml:space="preserve">Total regression test cases</t>
  </si>
  <si>
    <t xml:space="preserve">Count of RT IDs</t>
  </si>
  <si>
    <t xml:space="preserve">Passed tests (detailed)</t>
  </si>
  <si>
    <t xml:space="preserve">Derived from Execution Steps statuses</t>
  </si>
  <si>
    <t xml:space="preserve">Failed tests (detailed)</t>
  </si>
  <si>
    <t xml:space="preserve">Not Executed tests (detailed)</t>
  </si>
  <si>
    <t xml:space="preserve">Never counted as Passed</t>
  </si>
  <si>
    <t xml:space="preserve">Blocked tests (detailed)</t>
  </si>
  <si>
    <t xml:space="preserve">Genuine obstacle only</t>
  </si>
  <si>
    <t xml:space="preserve">Partially Executed tests (detailed)</t>
  </si>
  <si>
    <t xml:space="preserve">Some steps done, not all</t>
  </si>
  <si>
    <t xml:space="preserve">Reconciliation check (detailed)</t>
  </si>
  <si>
    <t xml:space="preserve">Pass+Fail+Not Executed+Blocked+Partial = Total</t>
  </si>
  <si>
    <t xml:space="preserve">Regression - Passed</t>
  </si>
  <si>
    <t xml:space="preserve">Status inherited from linked test case</t>
  </si>
  <si>
    <t xml:space="preserve">Regression - Failed</t>
  </si>
  <si>
    <t xml:space="preserve">Regression - Not Executed</t>
  </si>
  <si>
    <t xml:space="preserve">Regression - Blocked / Partially Executed</t>
  </si>
  <si>
    <t xml:space="preserve">Reconciliation check (regression)</t>
  </si>
  <si>
    <t xml:space="preserve">Verified pass rate (executed tests only)</t>
  </si>
  <si>
    <t xml:space="preserve">Not Executed excluded from denominator</t>
  </si>
  <si>
    <t xml:space="preserve">Assumed / Illustrative results included</t>
  </si>
  <si>
    <t xml:space="preserve">None. No assumed outcomes were requested, so none exist in this workbook.</t>
  </si>
  <si>
    <t xml:space="preserve">Automation candidates (Yes + Partial)</t>
  </si>
  <si>
    <t xml:space="preserve">Modules where Selenium is justified at least in part</t>
  </si>
  <si>
    <t xml:space="preserve">Fully automatable modules</t>
  </si>
  <si>
    <t xml:space="preserve">Modules excluded from full automation</t>
  </si>
  <si>
    <t xml:space="preserve">Coding Practice (code run/submit) and Login/Profile/Logout (CAPTCHA/OTP/credentials)</t>
  </si>
  <si>
    <t xml:space="preserve">Screenshots supplied</t>
  </si>
  <si>
    <t xml:space="preserve">Evidence Register</t>
  </si>
  <si>
    <t xml:space="preserve">Screenshots pending</t>
  </si>
  <si>
    <t xml:space="preserve">Recommended tool</t>
  </si>
  <si>
    <t xml:space="preserve">Selenium WebDriver with Python (+ pytest)</t>
  </si>
  <si>
    <t xml:space="preserve">Overall recommendation</t>
  </si>
  <si>
    <t xml:space="preserve">Automate stable, public, repetitive UI checks (homepage/navigation, search and article navigation, practice list/problem-page load, courses listing/details). Keep CAPTCHA, OTP, credentialed login/profile/logout and code submission manual. Execution of all test cases is pending.</t>
  </si>
  <si>
    <t xml:space="preserve">Figure No.</t>
  </si>
  <si>
    <t xml:space="preserve">Caption</t>
  </si>
  <si>
    <t xml:space="preserve">Related Test ID</t>
  </si>
  <si>
    <t xml:space="preserve">Related Regression ID</t>
  </si>
  <si>
    <t xml:space="preserve">What to Capture</t>
  </si>
  <si>
    <t xml:space="preserve">Report Location</t>
  </si>
  <si>
    <t xml:space="preserve">File Name / Notes</t>
  </si>
  <si>
    <t xml:space="preserve">Figure 1</t>
  </si>
  <si>
    <t xml:space="preserve">GeeksforGeeks homepage</t>
  </si>
  <si>
    <t xml:space="preserve">TC001, TC002</t>
  </si>
  <si>
    <t xml:space="preserve">RT001, RT002</t>
  </si>
  <si>
    <t xml:space="preserve">Full homepage with header menu and Courses section</t>
  </si>
  <si>
    <t xml:space="preserve">Section 20</t>
  </si>
  <si>
    <t xml:space="preserve">Pending</t>
  </si>
  <si>
    <t xml:space="preserve">No screenshot supplied yet</t>
  </si>
  <si>
    <t xml:space="preserve">Figure 2</t>
  </si>
  <si>
    <t xml:space="preserve">Search results for 'binary search'</t>
  </si>
  <si>
    <t xml:space="preserve">Search input and results/suggestions</t>
  </si>
  <si>
    <t xml:space="preserve">Figure 3</t>
  </si>
  <si>
    <t xml:space="preserve">DSA Tutorial article</t>
  </si>
  <si>
    <t xml:space="preserve">TC007, TC008</t>
  </si>
  <si>
    <t xml:space="preserve">Article title, Last Updated line, sections</t>
  </si>
  <si>
    <t xml:space="preserve">Figure 4</t>
  </si>
  <si>
    <t xml:space="preserve">TC009, TC010</t>
  </si>
  <si>
    <t xml:space="preserve">Explore &amp; Practice list with filters (and Arrays filter applied)</t>
  </si>
  <si>
    <t xml:space="preserve">Figure 5</t>
  </si>
  <si>
    <t xml:space="preserve">Problem statement and editor area</t>
  </si>
  <si>
    <t xml:space="preserve">Figure 6</t>
  </si>
  <si>
    <t xml:space="preserve">Code editor and run result (only if executed)</t>
  </si>
  <si>
    <t xml:space="preserve">Editor with sample code and the output/login prompt</t>
  </si>
  <si>
    <t xml:space="preserve">Figure 7</t>
  </si>
  <si>
    <t xml:space="preserve">TC013, TC014</t>
  </si>
  <si>
    <t xml:space="preserve">Courses page sections (and GATE category page)</t>
  </si>
  <si>
    <t xml:space="preserve">Figure 8</t>
  </si>
  <si>
    <t xml:space="preserve">Course title and description</t>
  </si>
  <si>
    <t xml:space="preserve">Figure 9</t>
  </si>
  <si>
    <t xml:space="preserve">Sign-in screen</t>
  </si>
  <si>
    <t xml:space="preserve">Sign-in form/options</t>
  </si>
  <si>
    <t xml:space="preserve">Figure 10</t>
  </si>
  <si>
    <t xml:space="preserve">Actual login/verification outcome</t>
  </si>
  <si>
    <t xml:space="preserve">Result after sign-in (hide personal data)</t>
  </si>
  <si>
    <t xml:space="preserve">Figure 11</t>
  </si>
  <si>
    <t xml:space="preserve">Profile/account page</t>
  </si>
  <si>
    <t xml:space="preserve">Profile page (hide personal data)</t>
  </si>
  <si>
    <t xml:space="preserve">Figure 12</t>
  </si>
  <si>
    <t xml:space="preserve">Logout / logged-out state</t>
  </si>
  <si>
    <t xml:space="preserve">Logged-out state after sign-out</t>
  </si>
  <si>
    <t xml:space="preserve">Figure 13</t>
  </si>
  <si>
    <t xml:space="preserve">Empty-search handling (additional)</t>
  </si>
  <si>
    <t xml:space="preserve">Page state after empty search</t>
  </si>
  <si>
    <t xml:space="preserve">Figure 14</t>
  </si>
  <si>
    <t xml:space="preserve">No-result search state (additional)</t>
  </si>
  <si>
    <t xml:space="preserve">Empty state for the nonsense search</t>
  </si>
  <si>
    <t xml:space="preserve">Figure 15</t>
  </si>
  <si>
    <t xml:space="preserve">Invalid course URL handling (additional)</t>
  </si>
  <si>
    <t xml:space="preserve">Not-found page/redirect</t>
  </si>
  <si>
    <t xml:space="preserve">Figure 16</t>
  </si>
  <si>
    <t xml:space="preserve">Invalid login error (additional)</t>
  </si>
  <si>
    <t xml:space="preserve">Error message after invalid sign-in</t>
  </si>
  <si>
    <t xml:space="preserve">Figure 17</t>
  </si>
  <si>
    <t xml:space="preserve">Footer page - About Us (additional)</t>
  </si>
  <si>
    <t xml:space="preserve">Destination page of the footer link</t>
  </si>
  <si>
    <t xml:space="preserve">URL Checked</t>
  </si>
  <si>
    <t xml:space="preserve">Observation (page-content retrieval, 30/10/2026)</t>
  </si>
  <si>
    <t xml:space="preserve">Title 'GeeksforGeeks | Your All-in-One Learning Portal'; header menus Courses, Tutorials, Interview Prep; search icon; Courses section with 'View All'; footer Company links.</t>
  </si>
  <si>
    <t xml:space="preserve">A - Verified (page-content retrieval, not a UI test)</t>
  </si>
  <si>
    <t xml:space="preserve">https://www.geeksforgeeks.org/dsa/dsa-tutorial-learn-data-structures-and-algorithms/</t>
  </si>
  <si>
    <t xml:space="preserve">'DSA Tutorial' page with a 'Last Updated' line and topic sections incl. Searching and Sorting. Search results page behaviour not checked.</t>
  </si>
  <si>
    <t xml:space="preserve">A - Verified (article page only); search not verified</t>
  </si>
  <si>
    <t xml:space="preserve">https://www.geeksforgeeks.org/explore</t>
  </si>
  <si>
    <t xml:space="preserve">'Explore &amp; Practice' page with problem list and Topic, Difficulty, Company, Sort controls; topic list includes Arrays. Problem-detail/editor not checked.</t>
  </si>
  <si>
    <t xml:space="preserve">A - Verified (list page only); detail/editor not verified</t>
  </si>
  <si>
    <t xml:space="preserve">https://www.geeksforgeeks.org/courses</t>
  </si>
  <si>
    <t xml:space="preserve">'GeeksforGeeks Courses' page with Popular Now, Course Categories, Live Courses; category links incl. GATE. Course detail page not opened.</t>
  </si>
  <si>
    <t xml:space="preserve">A - Verified (listing page only); detail not verified</t>
  </si>
  <si>
    <t xml:space="preserve">Sign-in/profile/logout controls were not visible in the retrieved page content (likely rendered by the browser). Availability must be confirmed manually.</t>
  </si>
  <si>
    <t xml:space="preserve">C - Not confirmed</t>
  </si>
  <si>
    <t xml:space="preserve">Item</t>
  </si>
  <si>
    <t xml:space="preserve">Description</t>
  </si>
  <si>
    <t xml:space="preserve">Status values</t>
  </si>
  <si>
    <t xml:space="preserve">Pass / Fail / Not Executed / Blocked / Partially Executed</t>
  </si>
  <si>
    <t xml:space="preserve">How status works</t>
  </si>
  <si>
    <t xml:space="preserve">Enter step results in 'Execution Steps' (yellow cells). Test Case, Regression and Summary statuses recalculate automatically.</t>
  </si>
  <si>
    <t xml:space="preserve">Yellow cells</t>
  </si>
  <si>
    <t xml:space="preserve">Fields to be filled by the student (Executed By, Execution Date, step Status, Evidence Status).</t>
  </si>
  <si>
    <t xml:space="preserve">Evidence categories</t>
  </si>
  <si>
    <t xml:space="preserve">A Verified / B Assumed-Illustrative / C Not Executed / D Blocked. No B rows exist in this workbook.</t>
  </si>
  <si>
    <t xml:space="preserve">Availability Check sheet</t>
  </si>
  <si>
    <t xml:space="preserve">Records what could be seen in retrieved page content. It is NOT a test result and does not change any status.</t>
  </si>
  <si>
    <t xml:space="preserve">Reference file notes</t>
  </si>
  <si>
    <t xml:space="preserve">The CricHeroes workbook used 'Pass*', 'No*' and hard-coded summary values and marked TC001 Pass while its Step 4 was Not Executed. These are not repeated 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</si>
</sst>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3A"/>
        <bgColor rgb="FF00808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6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24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28"/>
    <col collapsed="false" customWidth="true" hidden="false" outlineLevel="0" max="13" min="13" style="0" width="40"/>
    <col collapsed="false" customWidth="true" hidden="false" outlineLevel="0" max="14" min="14" style="0" width="34"/>
    <col collapsed="false" customWidth="true" hidden="false" outlineLevel="0" max="15" min="15" style="0" width="15"/>
    <col collapsed="false" customWidth="true" hidden="false" outlineLevel="0" max="18" min="16" style="0" width="13"/>
    <col collapsed="false" customWidth="true" hidden="false" outlineLevel="0" max="19" min="19" style="0" width="22"/>
    <col collapsed="false" customWidth="true" hidden="false" outlineLevel="0" max="20" min="20" style="0" width="12"/>
    <col collapsed="false" customWidth="true" hidden="false" outlineLevel="0" max="21" min="21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35.05" hidden="false" customHeight="false" outlineLevel="0" collapsed="false">
      <c r="A2" s="2" t="s">
        <v>21</v>
      </c>
      <c r="B2" s="2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2" t="s">
        <v>27</v>
      </c>
      <c r="H2" s="3" t="s">
        <v>28</v>
      </c>
      <c r="I2" s="2" t="s">
        <v>29</v>
      </c>
      <c r="J2" s="2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2" t="str">
        <f aca="false">IF(COUNTIFS('Execution Steps'!$B$2:$B$49,A2,'Execution Steps'!$G$2:$G$49,"Fail")&gt;0,"Fail",IF(COUNTIFS('Execution Steps'!$B$2:$B$49,A2,'Execution Steps'!$G$2:$G$49,"Blocked")&gt;0,"Blocked",IF(COUNTIFS('Execution Steps'!$B$2:$B$49,A2,'Execution Steps'!$G$2:$G$49,"Pass")=COUNTIF('Execution Steps'!$B$2:$B$49,A2),"Pass",IF(COUNTIFS('Execution Steps'!$B$2:$B$49,A2,'Execution Steps'!$G$2:$G$49,"Pass")=0,"Not Executed","Partially Executed"))))</f>
        <v>Not Executed</v>
      </c>
      <c r="P2" s="4" t="s">
        <v>35</v>
      </c>
      <c r="Q2" s="4" t="s">
        <v>35</v>
      </c>
      <c r="R2" s="2" t="s">
        <v>36</v>
      </c>
      <c r="S2" s="3" t="s">
        <v>37</v>
      </c>
      <c r="T2" s="2" t="s">
        <v>38</v>
      </c>
      <c r="U2" s="3" t="str">
        <f aca="false">IF(O2="Not Executed","C - NOT EXECUTED",IF(O2="Blocked","D - BLOCKED","A - VERIFIED (attach evidence "&amp;T2&amp;")"))</f>
        <v>C - NOT EXECUTED</v>
      </c>
    </row>
    <row r="3" customFormat="false" ht="23.85" hidden="false" customHeight="false" outlineLevel="0" collapsed="false">
      <c r="A3" s="2" t="s">
        <v>39</v>
      </c>
      <c r="B3" s="2" t="s">
        <v>40</v>
      </c>
      <c r="C3" s="3" t="s">
        <v>23</v>
      </c>
      <c r="D3" s="3" t="s">
        <v>41</v>
      </c>
      <c r="E3" s="3" t="s">
        <v>42</v>
      </c>
      <c r="F3" s="3" t="s">
        <v>43</v>
      </c>
      <c r="G3" s="2" t="s">
        <v>27</v>
      </c>
      <c r="H3" s="3" t="s">
        <v>28</v>
      </c>
      <c r="I3" s="2" t="s">
        <v>29</v>
      </c>
      <c r="J3" s="2" t="s">
        <v>29</v>
      </c>
      <c r="K3" s="3" t="s">
        <v>44</v>
      </c>
      <c r="L3" s="3" t="s">
        <v>45</v>
      </c>
      <c r="M3" s="3" t="s">
        <v>46</v>
      </c>
      <c r="N3" s="3" t="s">
        <v>34</v>
      </c>
      <c r="O3" s="2" t="str">
        <f aca="false">IF(COUNTIFS('Execution Steps'!$B$2:$B$49,A3,'Execution Steps'!$G$2:$G$49,"Fail")&gt;0,"Fail",IF(COUNTIFS('Execution Steps'!$B$2:$B$49,A3,'Execution Steps'!$G$2:$G$49,"Blocked")&gt;0,"Blocked",IF(COUNTIFS('Execution Steps'!$B$2:$B$49,A3,'Execution Steps'!$G$2:$G$49,"Pass")=COUNTIF('Execution Steps'!$B$2:$B$49,A3),"Pass",IF(COUNTIFS('Execution Steps'!$B$2:$B$49,A3,'Execution Steps'!$G$2:$G$49,"Pass")=0,"Not Executed","Partially Executed"))))</f>
        <v>Not Executed</v>
      </c>
      <c r="P3" s="4" t="s">
        <v>35</v>
      </c>
      <c r="Q3" s="4" t="s">
        <v>35</v>
      </c>
      <c r="R3" s="2" t="s">
        <v>36</v>
      </c>
      <c r="S3" s="3" t="s">
        <v>37</v>
      </c>
      <c r="T3" s="2" t="s">
        <v>38</v>
      </c>
      <c r="U3" s="3" t="str">
        <f aca="false">IF(O3="Not Executed","C - NOT EXECUTED",IF(O3="Blocked","D - BLOCKED","A - VERIFIED (attach evidence "&amp;T3&amp;")"))</f>
        <v>C - NOT EXECUTED</v>
      </c>
    </row>
    <row r="4" customFormat="false" ht="23.85" hidden="false" customHeight="false" outlineLevel="0" collapsed="false">
      <c r="A4" s="2" t="s">
        <v>47</v>
      </c>
      <c r="B4" s="2" t="s">
        <v>48</v>
      </c>
      <c r="C4" s="3" t="s">
        <v>23</v>
      </c>
      <c r="D4" s="3" t="s">
        <v>49</v>
      </c>
      <c r="E4" s="3" t="s">
        <v>50</v>
      </c>
      <c r="F4" s="3" t="s">
        <v>51</v>
      </c>
      <c r="G4" s="2" t="s">
        <v>27</v>
      </c>
      <c r="H4" s="3" t="s">
        <v>28</v>
      </c>
      <c r="I4" s="2" t="s">
        <v>52</v>
      </c>
      <c r="J4" s="2" t="s">
        <v>52</v>
      </c>
      <c r="K4" s="3" t="s">
        <v>53</v>
      </c>
      <c r="L4" s="3" t="s">
        <v>54</v>
      </c>
      <c r="M4" s="3" t="s">
        <v>55</v>
      </c>
      <c r="N4" s="3" t="s">
        <v>34</v>
      </c>
      <c r="O4" s="2" t="str">
        <f aca="false">IF(COUNTIFS('Execution Steps'!$B$2:$B$49,A4,'Execution Steps'!$G$2:$G$49,"Fail")&gt;0,"Fail",IF(COUNTIFS('Execution Steps'!$B$2:$B$49,A4,'Execution Steps'!$G$2:$G$49,"Blocked")&gt;0,"Blocked",IF(COUNTIFS('Execution Steps'!$B$2:$B$49,A4,'Execution Steps'!$G$2:$G$49,"Pass")=COUNTIF('Execution Steps'!$B$2:$B$49,A4),"Pass",IF(COUNTIFS('Execution Steps'!$B$2:$B$49,A4,'Execution Steps'!$G$2:$G$49,"Pass")=0,"Not Executed","Partially Executed"))))</f>
        <v>Not Executed</v>
      </c>
      <c r="P4" s="4" t="s">
        <v>35</v>
      </c>
      <c r="Q4" s="4" t="s">
        <v>35</v>
      </c>
      <c r="R4" s="2" t="s">
        <v>36</v>
      </c>
      <c r="S4" s="3" t="s">
        <v>37</v>
      </c>
      <c r="T4" s="2" t="s">
        <v>56</v>
      </c>
      <c r="U4" s="3" t="str">
        <f aca="false">IF(O4="Not Executed","C - NOT EXECUTED",IF(O4="Blocked","D - BLOCKED","A - VERIFIED (attach evidence "&amp;T4&amp;")"))</f>
        <v>C - NOT EXECUTED</v>
      </c>
    </row>
    <row r="5" customFormat="false" ht="23.85" hidden="false" customHeight="false" outlineLevel="0" collapsed="false">
      <c r="A5" s="2" t="s">
        <v>57</v>
      </c>
      <c r="B5" s="2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2" t="s">
        <v>63</v>
      </c>
      <c r="H5" s="3" t="s">
        <v>28</v>
      </c>
      <c r="I5" s="2" t="s">
        <v>29</v>
      </c>
      <c r="J5" s="2" t="s">
        <v>29</v>
      </c>
      <c r="K5" s="3" t="s">
        <v>64</v>
      </c>
      <c r="L5" s="3" t="s">
        <v>65</v>
      </c>
      <c r="M5" s="3" t="s">
        <v>66</v>
      </c>
      <c r="N5" s="3" t="s">
        <v>34</v>
      </c>
      <c r="O5" s="2" t="str">
        <f aca="false">IF(COUNTIFS('Execution Steps'!$B$2:$B$49,A5,'Execution Steps'!$G$2:$G$49,"Fail")&gt;0,"Fail",IF(COUNTIFS('Execution Steps'!$B$2:$B$49,A5,'Execution Steps'!$G$2:$G$49,"Blocked")&gt;0,"Blocked",IF(COUNTIFS('Execution Steps'!$B$2:$B$49,A5,'Execution Steps'!$G$2:$G$49,"Pass")=COUNTIF('Execution Steps'!$B$2:$B$49,A5),"Pass",IF(COUNTIFS('Execution Steps'!$B$2:$B$49,A5,'Execution Steps'!$G$2:$G$49,"Pass")=0,"Not Executed","Partially Executed"))))</f>
        <v>Not Executed</v>
      </c>
      <c r="P5" s="4" t="s">
        <v>35</v>
      </c>
      <c r="Q5" s="4" t="s">
        <v>35</v>
      </c>
      <c r="R5" s="2" t="s">
        <v>36</v>
      </c>
      <c r="S5" s="3" t="s">
        <v>37</v>
      </c>
      <c r="T5" s="2" t="s">
        <v>67</v>
      </c>
      <c r="U5" s="3" t="str">
        <f aca="false">IF(O5="Not Executed","C - NOT EXECUTED",IF(O5="Blocked","D - BLOCKED","A - VERIFIED (attach evidence "&amp;T5&amp;")"))</f>
        <v>C - NOT EXECUTED</v>
      </c>
    </row>
    <row r="6" customFormat="false" ht="23.85" hidden="false" customHeight="false" outlineLevel="0" collapsed="false">
      <c r="A6" s="2" t="s">
        <v>68</v>
      </c>
      <c r="B6" s="2" t="s">
        <v>58</v>
      </c>
      <c r="C6" s="3" t="s">
        <v>59</v>
      </c>
      <c r="D6" s="3" t="s">
        <v>69</v>
      </c>
      <c r="E6" s="3" t="s">
        <v>70</v>
      </c>
      <c r="F6" s="3" t="s">
        <v>71</v>
      </c>
      <c r="G6" s="2" t="s">
        <v>72</v>
      </c>
      <c r="H6" s="3" t="s">
        <v>73</v>
      </c>
      <c r="I6" s="2" t="s">
        <v>52</v>
      </c>
      <c r="J6" s="2" t="s">
        <v>52</v>
      </c>
      <c r="K6" s="3" t="s">
        <v>74</v>
      </c>
      <c r="L6" s="3" t="s">
        <v>75</v>
      </c>
      <c r="M6" s="3" t="s">
        <v>76</v>
      </c>
      <c r="N6" s="3" t="s">
        <v>34</v>
      </c>
      <c r="O6" s="2" t="str">
        <f aca="false">IF(COUNTIFS('Execution Steps'!$B$2:$B$49,A6,'Execution Steps'!$G$2:$G$49,"Fail")&gt;0,"Fail",IF(COUNTIFS('Execution Steps'!$B$2:$B$49,A6,'Execution Steps'!$G$2:$G$49,"Blocked")&gt;0,"Blocked",IF(COUNTIFS('Execution Steps'!$B$2:$B$49,A6,'Execution Steps'!$G$2:$G$49,"Pass")=COUNTIF('Execution Steps'!$B$2:$B$49,A6),"Pass",IF(COUNTIFS('Execution Steps'!$B$2:$B$49,A6,'Execution Steps'!$G$2:$G$49,"Pass")=0,"Not Executed","Partially Executed"))))</f>
        <v>Not Executed</v>
      </c>
      <c r="P6" s="4" t="s">
        <v>35</v>
      </c>
      <c r="Q6" s="4" t="s">
        <v>35</v>
      </c>
      <c r="R6" s="2" t="s">
        <v>36</v>
      </c>
      <c r="S6" s="3" t="s">
        <v>37</v>
      </c>
      <c r="T6" s="2" t="s">
        <v>77</v>
      </c>
      <c r="U6" s="3" t="str">
        <f aca="false">IF(O6="Not Executed","C - NOT EXECUTED",IF(O6="Blocked","D - BLOCKED","A - VERIFIED (attach evidence "&amp;T6&amp;")"))</f>
        <v>C - NOT EXECUTED</v>
      </c>
    </row>
    <row r="7" customFormat="false" ht="23.85" hidden="false" customHeight="false" outlineLevel="0" collapsed="false">
      <c r="A7" s="2" t="s">
        <v>78</v>
      </c>
      <c r="B7" s="2" t="s">
        <v>58</v>
      </c>
      <c r="C7" s="3" t="s">
        <v>59</v>
      </c>
      <c r="D7" s="3" t="s">
        <v>79</v>
      </c>
      <c r="E7" s="3" t="s">
        <v>80</v>
      </c>
      <c r="F7" s="3" t="s">
        <v>81</v>
      </c>
      <c r="G7" s="2" t="s">
        <v>72</v>
      </c>
      <c r="H7" s="3" t="s">
        <v>82</v>
      </c>
      <c r="I7" s="2" t="s">
        <v>52</v>
      </c>
      <c r="J7" s="2" t="s">
        <v>52</v>
      </c>
      <c r="K7" s="3" t="s">
        <v>74</v>
      </c>
      <c r="L7" s="3" t="s">
        <v>83</v>
      </c>
      <c r="M7" s="3" t="s">
        <v>84</v>
      </c>
      <c r="N7" s="3" t="s">
        <v>34</v>
      </c>
      <c r="O7" s="2" t="str">
        <f aca="false">IF(COUNTIFS('Execution Steps'!$B$2:$B$49,A7,'Execution Steps'!$G$2:$G$49,"Fail")&gt;0,"Fail",IF(COUNTIFS('Execution Steps'!$B$2:$B$49,A7,'Execution Steps'!$G$2:$G$49,"Blocked")&gt;0,"Blocked",IF(COUNTIFS('Execution Steps'!$B$2:$B$49,A7,'Execution Steps'!$G$2:$G$49,"Pass")=COUNTIF('Execution Steps'!$B$2:$B$49,A7),"Pass",IF(COUNTIFS('Execution Steps'!$B$2:$B$49,A7,'Execution Steps'!$G$2:$G$49,"Pass")=0,"Not Executed","Partially Executed"))))</f>
        <v>Not Executed</v>
      </c>
      <c r="P7" s="4" t="s">
        <v>35</v>
      </c>
      <c r="Q7" s="4" t="s">
        <v>35</v>
      </c>
      <c r="R7" s="2" t="s">
        <v>36</v>
      </c>
      <c r="S7" s="3" t="s">
        <v>37</v>
      </c>
      <c r="T7" s="2" t="s">
        <v>85</v>
      </c>
      <c r="U7" s="3" t="str">
        <f aca="false">IF(O7="Not Executed","C - NOT EXECUTED",IF(O7="Blocked","D - BLOCKED","A - VERIFIED (attach evidence "&amp;T7&amp;")"))</f>
        <v>C - NOT EXECUTED</v>
      </c>
    </row>
    <row r="8" customFormat="false" ht="35.05" hidden="false" customHeight="false" outlineLevel="0" collapsed="false">
      <c r="A8" s="2" t="s">
        <v>86</v>
      </c>
      <c r="B8" s="2" t="s">
        <v>87</v>
      </c>
      <c r="C8" s="3" t="s">
        <v>59</v>
      </c>
      <c r="D8" s="3" t="s">
        <v>88</v>
      </c>
      <c r="E8" s="3" t="s">
        <v>89</v>
      </c>
      <c r="F8" s="3" t="s">
        <v>90</v>
      </c>
      <c r="G8" s="2" t="s">
        <v>27</v>
      </c>
      <c r="H8" s="3" t="s">
        <v>28</v>
      </c>
      <c r="I8" s="2" t="s">
        <v>29</v>
      </c>
      <c r="J8" s="2" t="s">
        <v>29</v>
      </c>
      <c r="K8" s="3" t="s">
        <v>91</v>
      </c>
      <c r="L8" s="3" t="s">
        <v>92</v>
      </c>
      <c r="M8" s="3" t="s">
        <v>93</v>
      </c>
      <c r="N8" s="3" t="s">
        <v>34</v>
      </c>
      <c r="O8" s="2" t="str">
        <f aca="false">IF(COUNTIFS('Execution Steps'!$B$2:$B$49,A8,'Execution Steps'!$G$2:$G$49,"Fail")&gt;0,"Fail",IF(COUNTIFS('Execution Steps'!$B$2:$B$49,A8,'Execution Steps'!$G$2:$G$49,"Blocked")&gt;0,"Blocked",IF(COUNTIFS('Execution Steps'!$B$2:$B$49,A8,'Execution Steps'!$G$2:$G$49,"Pass")=COUNTIF('Execution Steps'!$B$2:$B$49,A8),"Pass",IF(COUNTIFS('Execution Steps'!$B$2:$B$49,A8,'Execution Steps'!$G$2:$G$49,"Pass")=0,"Not Executed","Partially Executed"))))</f>
        <v>Not Executed</v>
      </c>
      <c r="P8" s="4" t="s">
        <v>35</v>
      </c>
      <c r="Q8" s="4" t="s">
        <v>35</v>
      </c>
      <c r="R8" s="2" t="s">
        <v>36</v>
      </c>
      <c r="S8" s="3" t="s">
        <v>37</v>
      </c>
      <c r="T8" s="2" t="s">
        <v>94</v>
      </c>
      <c r="U8" s="3" t="str">
        <f aca="false">IF(O8="Not Executed","C - NOT EXECUTED",IF(O8="Blocked","D - BLOCKED","A - VERIFIED (attach evidence "&amp;T8&amp;")"))</f>
        <v>C - NOT EXECUTED</v>
      </c>
    </row>
    <row r="9" customFormat="false" ht="35.05" hidden="false" customHeight="false" outlineLevel="0" collapsed="false">
      <c r="A9" s="2" t="s">
        <v>95</v>
      </c>
      <c r="B9" s="2" t="s">
        <v>87</v>
      </c>
      <c r="C9" s="3" t="s">
        <v>59</v>
      </c>
      <c r="D9" s="3" t="s">
        <v>96</v>
      </c>
      <c r="E9" s="3" t="s">
        <v>97</v>
      </c>
      <c r="F9" s="3" t="s">
        <v>98</v>
      </c>
      <c r="G9" s="2" t="s">
        <v>27</v>
      </c>
      <c r="H9" s="3" t="s">
        <v>28</v>
      </c>
      <c r="I9" s="2" t="s">
        <v>52</v>
      </c>
      <c r="J9" s="2" t="s">
        <v>52</v>
      </c>
      <c r="K9" s="3" t="s">
        <v>99</v>
      </c>
      <c r="L9" s="3" t="s">
        <v>100</v>
      </c>
      <c r="M9" s="3" t="s">
        <v>101</v>
      </c>
      <c r="N9" s="3" t="s">
        <v>34</v>
      </c>
      <c r="O9" s="2" t="str">
        <f aca="false">IF(COUNTIFS('Execution Steps'!$B$2:$B$49,A9,'Execution Steps'!$G$2:$G$49,"Fail")&gt;0,"Fail",IF(COUNTIFS('Execution Steps'!$B$2:$B$49,A9,'Execution Steps'!$G$2:$G$49,"Blocked")&gt;0,"Blocked",IF(COUNTIFS('Execution Steps'!$B$2:$B$49,A9,'Execution Steps'!$G$2:$G$49,"Pass")=COUNTIF('Execution Steps'!$B$2:$B$49,A9),"Pass",IF(COUNTIFS('Execution Steps'!$B$2:$B$49,A9,'Execution Steps'!$G$2:$G$49,"Pass")=0,"Not Executed","Partially Executed"))))</f>
        <v>Not Executed</v>
      </c>
      <c r="P9" s="4" t="s">
        <v>35</v>
      </c>
      <c r="Q9" s="4" t="s">
        <v>35</v>
      </c>
      <c r="R9" s="2" t="s">
        <v>36</v>
      </c>
      <c r="S9" s="3" t="s">
        <v>37</v>
      </c>
      <c r="T9" s="2" t="s">
        <v>94</v>
      </c>
      <c r="U9" s="3" t="str">
        <f aca="false">IF(O9="Not Executed","C - NOT EXECUTED",IF(O9="Blocked","D - BLOCKED","A - VERIFIED (attach evidence "&amp;T9&amp;")"))</f>
        <v>C - NOT EXECUTED</v>
      </c>
    </row>
    <row r="10" customFormat="false" ht="35.05" hidden="false" customHeight="false" outlineLevel="0" collapsed="false">
      <c r="A10" s="2" t="s">
        <v>102</v>
      </c>
      <c r="B10" s="2" t="s">
        <v>103</v>
      </c>
      <c r="C10" s="3" t="s">
        <v>104</v>
      </c>
      <c r="D10" s="3" t="s">
        <v>105</v>
      </c>
      <c r="E10" s="3" t="s">
        <v>106</v>
      </c>
      <c r="F10" s="3" t="s">
        <v>107</v>
      </c>
      <c r="G10" s="2" t="s">
        <v>27</v>
      </c>
      <c r="H10" s="3" t="s">
        <v>28</v>
      </c>
      <c r="I10" s="2" t="s">
        <v>29</v>
      </c>
      <c r="J10" s="2" t="s">
        <v>29</v>
      </c>
      <c r="K10" s="3" t="s">
        <v>91</v>
      </c>
      <c r="L10" s="3" t="s">
        <v>108</v>
      </c>
      <c r="M10" s="3" t="s">
        <v>109</v>
      </c>
      <c r="N10" s="3" t="s">
        <v>34</v>
      </c>
      <c r="O10" s="2" t="str">
        <f aca="false">IF(COUNTIFS('Execution Steps'!$B$2:$B$49,A10,'Execution Steps'!$G$2:$G$49,"Fail")&gt;0,"Fail",IF(COUNTIFS('Execution Steps'!$B$2:$B$49,A10,'Execution Steps'!$G$2:$G$49,"Blocked")&gt;0,"Blocked",IF(COUNTIFS('Execution Steps'!$B$2:$B$49,A10,'Execution Steps'!$G$2:$G$49,"Pass")=COUNTIF('Execution Steps'!$B$2:$B$49,A10),"Pass",IF(COUNTIFS('Execution Steps'!$B$2:$B$49,A10,'Execution Steps'!$G$2:$G$49,"Pass")=0,"Not Executed","Partially Executed"))))</f>
        <v>Not Executed</v>
      </c>
      <c r="P10" s="4" t="s">
        <v>35</v>
      </c>
      <c r="Q10" s="4" t="s">
        <v>35</v>
      </c>
      <c r="R10" s="2" t="s">
        <v>36</v>
      </c>
      <c r="S10" s="3" t="s">
        <v>37</v>
      </c>
      <c r="T10" s="2" t="s">
        <v>110</v>
      </c>
      <c r="U10" s="3" t="str">
        <f aca="false">IF(O10="Not Executed","C - NOT EXECUTED",IF(O10="Blocked","D - BLOCKED","A - VERIFIED (attach evidence "&amp;T10&amp;")"))</f>
        <v>C - NOT EXECUTED</v>
      </c>
    </row>
    <row r="11" customFormat="false" ht="23.85" hidden="false" customHeight="false" outlineLevel="0" collapsed="false">
      <c r="A11" s="2" t="s">
        <v>111</v>
      </c>
      <c r="B11" s="2" t="s">
        <v>103</v>
      </c>
      <c r="C11" s="3" t="s">
        <v>104</v>
      </c>
      <c r="D11" s="3" t="s">
        <v>112</v>
      </c>
      <c r="E11" s="3" t="s">
        <v>113</v>
      </c>
      <c r="F11" s="3" t="s">
        <v>114</v>
      </c>
      <c r="G11" s="2" t="s">
        <v>63</v>
      </c>
      <c r="H11" s="3" t="s">
        <v>28</v>
      </c>
      <c r="I11" s="2" t="s">
        <v>52</v>
      </c>
      <c r="J11" s="2" t="s">
        <v>52</v>
      </c>
      <c r="K11" s="3" t="s">
        <v>115</v>
      </c>
      <c r="L11" s="3" t="s">
        <v>116</v>
      </c>
      <c r="M11" s="3" t="s">
        <v>117</v>
      </c>
      <c r="N11" s="3" t="s">
        <v>34</v>
      </c>
      <c r="O11" s="2" t="str">
        <f aca="false">IF(COUNTIFS('Execution Steps'!$B$2:$B$49,A11,'Execution Steps'!$G$2:$G$49,"Fail")&gt;0,"Fail",IF(COUNTIFS('Execution Steps'!$B$2:$B$49,A11,'Execution Steps'!$G$2:$G$49,"Blocked")&gt;0,"Blocked",IF(COUNTIFS('Execution Steps'!$B$2:$B$49,A11,'Execution Steps'!$G$2:$G$49,"Pass")=COUNTIF('Execution Steps'!$B$2:$B$49,A11),"Pass",IF(COUNTIFS('Execution Steps'!$B$2:$B$49,A11,'Execution Steps'!$G$2:$G$49,"Pass")=0,"Not Executed","Partially Executed"))))</f>
        <v>Not Executed</v>
      </c>
      <c r="P11" s="4" t="s">
        <v>35</v>
      </c>
      <c r="Q11" s="4" t="s">
        <v>35</v>
      </c>
      <c r="R11" s="2" t="s">
        <v>36</v>
      </c>
      <c r="S11" s="3" t="s">
        <v>37</v>
      </c>
      <c r="T11" s="2" t="s">
        <v>110</v>
      </c>
      <c r="U11" s="3" t="str">
        <f aca="false">IF(O11="Not Executed","C - NOT EXECUTED",IF(O11="Blocked","D - BLOCKED","A - VERIFIED (attach evidence "&amp;T11&amp;")"))</f>
        <v>C - NOT EXECUTED</v>
      </c>
    </row>
    <row r="12" customFormat="false" ht="35.05" hidden="false" customHeight="false" outlineLevel="0" collapsed="false">
      <c r="A12" s="2" t="s">
        <v>118</v>
      </c>
      <c r="B12" s="2" t="s">
        <v>119</v>
      </c>
      <c r="C12" s="3" t="s">
        <v>104</v>
      </c>
      <c r="D12" s="3" t="s">
        <v>120</v>
      </c>
      <c r="E12" s="3" t="s">
        <v>121</v>
      </c>
      <c r="F12" s="3" t="s">
        <v>122</v>
      </c>
      <c r="G12" s="2" t="s">
        <v>27</v>
      </c>
      <c r="H12" s="3" t="s">
        <v>28</v>
      </c>
      <c r="I12" s="2" t="s">
        <v>29</v>
      </c>
      <c r="J12" s="2" t="s">
        <v>29</v>
      </c>
      <c r="K12" s="3" t="s">
        <v>123</v>
      </c>
      <c r="L12" s="3" t="s">
        <v>124</v>
      </c>
      <c r="M12" s="3" t="s">
        <v>125</v>
      </c>
      <c r="N12" s="3" t="s">
        <v>34</v>
      </c>
      <c r="O12" s="2" t="str">
        <f aca="false">IF(COUNTIFS('Execution Steps'!$B$2:$B$49,A12,'Execution Steps'!$G$2:$G$49,"Fail")&gt;0,"Fail",IF(COUNTIFS('Execution Steps'!$B$2:$B$49,A12,'Execution Steps'!$G$2:$G$49,"Blocked")&gt;0,"Blocked",IF(COUNTIFS('Execution Steps'!$B$2:$B$49,A12,'Execution Steps'!$G$2:$G$49,"Pass")=COUNTIF('Execution Steps'!$B$2:$B$49,A12),"Pass",IF(COUNTIFS('Execution Steps'!$B$2:$B$49,A12,'Execution Steps'!$G$2:$G$49,"Pass")=0,"Not Executed","Partially Executed"))))</f>
        <v>Not Executed</v>
      </c>
      <c r="P12" s="4" t="s">
        <v>35</v>
      </c>
      <c r="Q12" s="4" t="s">
        <v>35</v>
      </c>
      <c r="R12" s="2" t="s">
        <v>126</v>
      </c>
      <c r="S12" s="3" t="s">
        <v>127</v>
      </c>
      <c r="T12" s="2" t="s">
        <v>128</v>
      </c>
      <c r="U12" s="3" t="str">
        <f aca="false">IF(O12="Not Executed","C - NOT EXECUTED",IF(O12="Blocked","D - BLOCKED","A - VERIFIED (attach evidence "&amp;T12&amp;")"))</f>
        <v>C - NOT EXECUTED</v>
      </c>
    </row>
    <row r="13" customFormat="false" ht="23.85" hidden="false" customHeight="false" outlineLevel="0" collapsed="false">
      <c r="A13" s="2" t="s">
        <v>129</v>
      </c>
      <c r="B13" s="2" t="s">
        <v>119</v>
      </c>
      <c r="C13" s="3" t="s">
        <v>104</v>
      </c>
      <c r="D13" s="3" t="s">
        <v>130</v>
      </c>
      <c r="E13" s="3" t="s">
        <v>131</v>
      </c>
      <c r="F13" s="3" t="s">
        <v>132</v>
      </c>
      <c r="G13" s="2" t="s">
        <v>63</v>
      </c>
      <c r="H13" s="3" t="s">
        <v>28</v>
      </c>
      <c r="I13" s="2" t="s">
        <v>52</v>
      </c>
      <c r="J13" s="2" t="s">
        <v>29</v>
      </c>
      <c r="K13" s="3" t="s">
        <v>133</v>
      </c>
      <c r="L13" s="3" t="s">
        <v>134</v>
      </c>
      <c r="M13" s="3" t="s">
        <v>135</v>
      </c>
      <c r="N13" s="3" t="s">
        <v>34</v>
      </c>
      <c r="O13" s="2" t="str">
        <f aca="false">IF(COUNTIFS('Execution Steps'!$B$2:$B$49,A13,'Execution Steps'!$G$2:$G$49,"Fail")&gt;0,"Fail",IF(COUNTIFS('Execution Steps'!$B$2:$B$49,A13,'Execution Steps'!$G$2:$G$49,"Blocked")&gt;0,"Blocked",IF(COUNTIFS('Execution Steps'!$B$2:$B$49,A13,'Execution Steps'!$G$2:$G$49,"Pass")=COUNTIF('Execution Steps'!$B$2:$B$49,A13),"Pass",IF(COUNTIFS('Execution Steps'!$B$2:$B$49,A13,'Execution Steps'!$G$2:$G$49,"Pass")=0,"Not Executed","Partially Executed"))))</f>
        <v>Not Executed</v>
      </c>
      <c r="P13" s="4" t="s">
        <v>35</v>
      </c>
      <c r="Q13" s="4" t="s">
        <v>35</v>
      </c>
      <c r="R13" s="2" t="s">
        <v>136</v>
      </c>
      <c r="S13" s="3" t="s">
        <v>137</v>
      </c>
      <c r="T13" s="2" t="s">
        <v>138</v>
      </c>
      <c r="U13" s="3" t="str">
        <f aca="false">IF(O13="Not Executed","C - NOT EXECUTED",IF(O13="Blocked","D - BLOCKED","A - VERIFIED (attach evidence "&amp;T13&amp;")"))</f>
        <v>C - NOT EXECUTED</v>
      </c>
    </row>
    <row r="14" customFormat="false" ht="35.05" hidden="false" customHeight="false" outlineLevel="0" collapsed="false">
      <c r="A14" s="2" t="s">
        <v>139</v>
      </c>
      <c r="B14" s="2" t="s">
        <v>140</v>
      </c>
      <c r="C14" s="3" t="s">
        <v>141</v>
      </c>
      <c r="D14" s="3" t="s">
        <v>142</v>
      </c>
      <c r="E14" s="3" t="s">
        <v>143</v>
      </c>
      <c r="F14" s="3" t="s">
        <v>144</v>
      </c>
      <c r="G14" s="2" t="s">
        <v>27</v>
      </c>
      <c r="H14" s="3" t="s">
        <v>28</v>
      </c>
      <c r="I14" s="2" t="s">
        <v>29</v>
      </c>
      <c r="J14" s="2" t="s">
        <v>29</v>
      </c>
      <c r="K14" s="3" t="s">
        <v>91</v>
      </c>
      <c r="L14" s="3" t="s">
        <v>145</v>
      </c>
      <c r="M14" s="3" t="s">
        <v>146</v>
      </c>
      <c r="N14" s="3" t="s">
        <v>34</v>
      </c>
      <c r="O14" s="2" t="str">
        <f aca="false">IF(COUNTIFS('Execution Steps'!$B$2:$B$49,A14,'Execution Steps'!$G$2:$G$49,"Fail")&gt;0,"Fail",IF(COUNTIFS('Execution Steps'!$B$2:$B$49,A14,'Execution Steps'!$G$2:$G$49,"Blocked")&gt;0,"Blocked",IF(COUNTIFS('Execution Steps'!$B$2:$B$49,A14,'Execution Steps'!$G$2:$G$49,"Pass")=COUNTIF('Execution Steps'!$B$2:$B$49,A14),"Pass",IF(COUNTIFS('Execution Steps'!$B$2:$B$49,A14,'Execution Steps'!$G$2:$G$49,"Pass")=0,"Not Executed","Partially Executed"))))</f>
        <v>Not Executed</v>
      </c>
      <c r="P14" s="4" t="s">
        <v>35</v>
      </c>
      <c r="Q14" s="4" t="s">
        <v>35</v>
      </c>
      <c r="R14" s="2" t="s">
        <v>36</v>
      </c>
      <c r="S14" s="3" t="s">
        <v>37</v>
      </c>
      <c r="T14" s="2" t="s">
        <v>147</v>
      </c>
      <c r="U14" s="3" t="str">
        <f aca="false">IF(O14="Not Executed","C - NOT EXECUTED",IF(O14="Blocked","D - BLOCKED","A - VERIFIED (attach evidence "&amp;T14&amp;")"))</f>
        <v>C - NOT EXECUTED</v>
      </c>
    </row>
    <row r="15" customFormat="false" ht="23.85" hidden="false" customHeight="false" outlineLevel="0" collapsed="false">
      <c r="A15" s="2" t="s">
        <v>148</v>
      </c>
      <c r="B15" s="2" t="s">
        <v>140</v>
      </c>
      <c r="C15" s="3" t="s">
        <v>141</v>
      </c>
      <c r="D15" s="3" t="s">
        <v>149</v>
      </c>
      <c r="E15" s="3" t="s">
        <v>150</v>
      </c>
      <c r="F15" s="3" t="s">
        <v>151</v>
      </c>
      <c r="G15" s="2" t="s">
        <v>63</v>
      </c>
      <c r="H15" s="3" t="s">
        <v>28</v>
      </c>
      <c r="I15" s="2" t="s">
        <v>52</v>
      </c>
      <c r="J15" s="2" t="s">
        <v>52</v>
      </c>
      <c r="K15" s="3" t="s">
        <v>152</v>
      </c>
      <c r="L15" s="3" t="s">
        <v>153</v>
      </c>
      <c r="M15" s="3" t="s">
        <v>154</v>
      </c>
      <c r="N15" s="3" t="s">
        <v>34</v>
      </c>
      <c r="O15" s="2" t="str">
        <f aca="false">IF(COUNTIFS('Execution Steps'!$B$2:$B$49,A15,'Execution Steps'!$G$2:$G$49,"Fail")&gt;0,"Fail",IF(COUNTIFS('Execution Steps'!$B$2:$B$49,A15,'Execution Steps'!$G$2:$G$49,"Blocked")&gt;0,"Blocked",IF(COUNTIFS('Execution Steps'!$B$2:$B$49,A15,'Execution Steps'!$G$2:$G$49,"Pass")=COUNTIF('Execution Steps'!$B$2:$B$49,A15),"Pass",IF(COUNTIFS('Execution Steps'!$B$2:$B$49,A15,'Execution Steps'!$G$2:$G$49,"Pass")=0,"Not Executed","Partially Executed"))))</f>
        <v>Not Executed</v>
      </c>
      <c r="P15" s="4" t="s">
        <v>35</v>
      </c>
      <c r="Q15" s="4" t="s">
        <v>35</v>
      </c>
      <c r="R15" s="2" t="s">
        <v>36</v>
      </c>
      <c r="S15" s="3" t="s">
        <v>37</v>
      </c>
      <c r="T15" s="2" t="s">
        <v>147</v>
      </c>
      <c r="U15" s="3" t="str">
        <f aca="false">IF(O15="Not Executed","C - NOT EXECUTED",IF(O15="Blocked","D - BLOCKED","A - VERIFIED (attach evidence "&amp;T15&amp;")"))</f>
        <v>C - NOT EXECUTED</v>
      </c>
    </row>
    <row r="16" customFormat="false" ht="35.05" hidden="false" customHeight="false" outlineLevel="0" collapsed="false">
      <c r="A16" s="2" t="s">
        <v>155</v>
      </c>
      <c r="B16" s="2" t="s">
        <v>156</v>
      </c>
      <c r="C16" s="3" t="s">
        <v>141</v>
      </c>
      <c r="D16" s="3" t="s">
        <v>157</v>
      </c>
      <c r="E16" s="3" t="s">
        <v>158</v>
      </c>
      <c r="F16" s="3" t="s">
        <v>159</v>
      </c>
      <c r="G16" s="2" t="s">
        <v>27</v>
      </c>
      <c r="H16" s="3" t="s">
        <v>28</v>
      </c>
      <c r="I16" s="2" t="s">
        <v>29</v>
      </c>
      <c r="J16" s="2" t="s">
        <v>29</v>
      </c>
      <c r="K16" s="3" t="s">
        <v>160</v>
      </c>
      <c r="L16" s="3" t="s">
        <v>161</v>
      </c>
      <c r="M16" s="3" t="s">
        <v>162</v>
      </c>
      <c r="N16" s="3" t="s">
        <v>34</v>
      </c>
      <c r="O16" s="2" t="str">
        <f aca="false">IF(COUNTIFS('Execution Steps'!$B$2:$B$49,A16,'Execution Steps'!$G$2:$G$49,"Fail")&gt;0,"Fail",IF(COUNTIFS('Execution Steps'!$B$2:$B$49,A16,'Execution Steps'!$G$2:$G$49,"Blocked")&gt;0,"Blocked",IF(COUNTIFS('Execution Steps'!$B$2:$B$49,A16,'Execution Steps'!$G$2:$G$49,"Pass")=COUNTIF('Execution Steps'!$B$2:$B$49,A16),"Pass",IF(COUNTIFS('Execution Steps'!$B$2:$B$49,A16,'Execution Steps'!$G$2:$G$49,"Pass")=0,"Not Executed","Partially Executed"))))</f>
        <v>Not Executed</v>
      </c>
      <c r="P16" s="4" t="s">
        <v>35</v>
      </c>
      <c r="Q16" s="4" t="s">
        <v>35</v>
      </c>
      <c r="R16" s="2" t="s">
        <v>36</v>
      </c>
      <c r="S16" s="3" t="s">
        <v>37</v>
      </c>
      <c r="T16" s="2" t="s">
        <v>163</v>
      </c>
      <c r="U16" s="3" t="str">
        <f aca="false">IF(O16="Not Executed","C - NOT EXECUTED",IF(O16="Blocked","D - BLOCKED","A - VERIFIED (attach evidence "&amp;T16&amp;")"))</f>
        <v>C - NOT EXECUTED</v>
      </c>
    </row>
    <row r="17" customFormat="false" ht="23.85" hidden="false" customHeight="false" outlineLevel="0" collapsed="false">
      <c r="A17" s="2" t="s">
        <v>164</v>
      </c>
      <c r="B17" s="2" t="s">
        <v>156</v>
      </c>
      <c r="C17" s="3" t="s">
        <v>141</v>
      </c>
      <c r="D17" s="3" t="s">
        <v>165</v>
      </c>
      <c r="E17" s="3" t="s">
        <v>166</v>
      </c>
      <c r="F17" s="3" t="s">
        <v>167</v>
      </c>
      <c r="G17" s="2" t="s">
        <v>72</v>
      </c>
      <c r="H17" s="3" t="s">
        <v>168</v>
      </c>
      <c r="I17" s="2" t="s">
        <v>52</v>
      </c>
      <c r="J17" s="2" t="s">
        <v>52</v>
      </c>
      <c r="K17" s="3" t="s">
        <v>91</v>
      </c>
      <c r="L17" s="3" t="s">
        <v>169</v>
      </c>
      <c r="M17" s="3" t="s">
        <v>170</v>
      </c>
      <c r="N17" s="3" t="s">
        <v>34</v>
      </c>
      <c r="O17" s="2" t="str">
        <f aca="false">IF(COUNTIFS('Execution Steps'!$B$2:$B$49,A17,'Execution Steps'!$G$2:$G$49,"Fail")&gt;0,"Fail",IF(COUNTIFS('Execution Steps'!$B$2:$B$49,A17,'Execution Steps'!$G$2:$G$49,"Blocked")&gt;0,"Blocked",IF(COUNTIFS('Execution Steps'!$B$2:$B$49,A17,'Execution Steps'!$G$2:$G$49,"Pass")=COUNTIF('Execution Steps'!$B$2:$B$49,A17),"Pass",IF(COUNTIFS('Execution Steps'!$B$2:$B$49,A17,'Execution Steps'!$G$2:$G$49,"Pass")=0,"Not Executed","Partially Executed"))))</f>
        <v>Not Executed</v>
      </c>
      <c r="P17" s="4" t="s">
        <v>35</v>
      </c>
      <c r="Q17" s="4" t="s">
        <v>35</v>
      </c>
      <c r="R17" s="2" t="s">
        <v>36</v>
      </c>
      <c r="S17" s="3" t="s">
        <v>37</v>
      </c>
      <c r="T17" s="2" t="s">
        <v>171</v>
      </c>
      <c r="U17" s="3" t="str">
        <f aca="false">IF(O17="Not Executed","C - NOT EXECUTED",IF(O17="Blocked","D - BLOCKED","A - VERIFIED (attach evidence "&amp;T17&amp;")"))</f>
        <v>C - NOT EXECUTED</v>
      </c>
    </row>
    <row r="18" customFormat="false" ht="23.85" hidden="false" customHeight="false" outlineLevel="0" collapsed="false">
      <c r="A18" s="2" t="s">
        <v>172</v>
      </c>
      <c r="B18" s="2" t="s">
        <v>173</v>
      </c>
      <c r="C18" s="3" t="s">
        <v>174</v>
      </c>
      <c r="D18" s="3" t="s">
        <v>175</v>
      </c>
      <c r="E18" s="3" t="s">
        <v>176</v>
      </c>
      <c r="F18" s="3" t="s">
        <v>177</v>
      </c>
      <c r="G18" s="2" t="s">
        <v>27</v>
      </c>
      <c r="H18" s="3" t="s">
        <v>28</v>
      </c>
      <c r="I18" s="2" t="s">
        <v>29</v>
      </c>
      <c r="J18" s="2" t="s">
        <v>30</v>
      </c>
      <c r="K18" s="3" t="s">
        <v>178</v>
      </c>
      <c r="L18" s="3" t="s">
        <v>179</v>
      </c>
      <c r="M18" s="3" t="s">
        <v>180</v>
      </c>
      <c r="N18" s="3" t="s">
        <v>34</v>
      </c>
      <c r="O18" s="2" t="str">
        <f aca="false">IF(COUNTIFS('Execution Steps'!$B$2:$B$49,A18,'Execution Steps'!$G$2:$G$49,"Fail")&gt;0,"Fail",IF(COUNTIFS('Execution Steps'!$B$2:$B$49,A18,'Execution Steps'!$G$2:$G$49,"Blocked")&gt;0,"Blocked",IF(COUNTIFS('Execution Steps'!$B$2:$B$49,A18,'Execution Steps'!$G$2:$G$49,"Pass")=COUNTIF('Execution Steps'!$B$2:$B$49,A18),"Pass",IF(COUNTIFS('Execution Steps'!$B$2:$B$49,A18,'Execution Steps'!$G$2:$G$49,"Pass")=0,"Not Executed","Partially Executed"))))</f>
        <v>Not Executed</v>
      </c>
      <c r="P18" s="4" t="s">
        <v>35</v>
      </c>
      <c r="Q18" s="4" t="s">
        <v>35</v>
      </c>
      <c r="R18" s="2" t="s">
        <v>126</v>
      </c>
      <c r="S18" s="3" t="s">
        <v>181</v>
      </c>
      <c r="T18" s="2" t="s">
        <v>182</v>
      </c>
      <c r="U18" s="3" t="str">
        <f aca="false">IF(O18="Not Executed","C - NOT EXECUTED",IF(O18="Blocked","D - BLOCKED","A - VERIFIED (attach evidence "&amp;T18&amp;")"))</f>
        <v>C - NOT EXECUTED</v>
      </c>
    </row>
    <row r="19" customFormat="false" ht="23.85" hidden="false" customHeight="false" outlineLevel="0" collapsed="false">
      <c r="A19" s="2" t="s">
        <v>183</v>
      </c>
      <c r="B19" s="2" t="s">
        <v>173</v>
      </c>
      <c r="C19" s="3" t="s">
        <v>174</v>
      </c>
      <c r="D19" s="3" t="s">
        <v>184</v>
      </c>
      <c r="E19" s="3" t="s">
        <v>185</v>
      </c>
      <c r="F19" s="3" t="s">
        <v>186</v>
      </c>
      <c r="G19" s="2" t="s">
        <v>72</v>
      </c>
      <c r="H19" s="3" t="s">
        <v>28</v>
      </c>
      <c r="I19" s="2" t="s">
        <v>29</v>
      </c>
      <c r="J19" s="2" t="s">
        <v>30</v>
      </c>
      <c r="K19" s="3" t="s">
        <v>187</v>
      </c>
      <c r="L19" s="3" t="s">
        <v>188</v>
      </c>
      <c r="M19" s="3" t="s">
        <v>189</v>
      </c>
      <c r="N19" s="3" t="s">
        <v>34</v>
      </c>
      <c r="O19" s="2" t="str">
        <f aca="false">IF(COUNTIFS('Execution Steps'!$B$2:$B$49,A19,'Execution Steps'!$G$2:$G$49,"Fail")&gt;0,"Fail",IF(COUNTIFS('Execution Steps'!$B$2:$B$49,A19,'Execution Steps'!$G$2:$G$49,"Blocked")&gt;0,"Blocked",IF(COUNTIFS('Execution Steps'!$B$2:$B$49,A19,'Execution Steps'!$G$2:$G$49,"Pass")=COUNTIF('Execution Steps'!$B$2:$B$49,A19),"Pass",IF(COUNTIFS('Execution Steps'!$B$2:$B$49,A19,'Execution Steps'!$G$2:$G$49,"Pass")=0,"Not Executed","Partially Executed"))))</f>
        <v>Not Executed</v>
      </c>
      <c r="P19" s="4" t="s">
        <v>35</v>
      </c>
      <c r="Q19" s="4" t="s">
        <v>35</v>
      </c>
      <c r="R19" s="2" t="s">
        <v>136</v>
      </c>
      <c r="S19" s="3" t="s">
        <v>137</v>
      </c>
      <c r="T19" s="2" t="s">
        <v>190</v>
      </c>
      <c r="U19" s="3" t="str">
        <f aca="false">IF(O19="Not Executed","C - NOT EXECUTED",IF(O19="Blocked","D - BLOCKED","A - VERIFIED (attach evidence "&amp;T19&amp;")"))</f>
        <v>C - NOT EXECUTED</v>
      </c>
    </row>
    <row r="20" customFormat="false" ht="23.85" hidden="false" customHeight="false" outlineLevel="0" collapsed="false">
      <c r="A20" s="2" t="s">
        <v>191</v>
      </c>
      <c r="B20" s="2" t="s">
        <v>173</v>
      </c>
      <c r="C20" s="3" t="s">
        <v>174</v>
      </c>
      <c r="D20" s="3" t="s">
        <v>192</v>
      </c>
      <c r="E20" s="3" t="s">
        <v>193</v>
      </c>
      <c r="F20" s="3" t="s">
        <v>194</v>
      </c>
      <c r="G20" s="2" t="s">
        <v>27</v>
      </c>
      <c r="H20" s="3" t="s">
        <v>28</v>
      </c>
      <c r="I20" s="2" t="s">
        <v>29</v>
      </c>
      <c r="J20" s="2" t="s">
        <v>30</v>
      </c>
      <c r="K20" s="3" t="s">
        <v>195</v>
      </c>
      <c r="L20" s="3" t="s">
        <v>196</v>
      </c>
      <c r="M20" s="3" t="s">
        <v>197</v>
      </c>
      <c r="N20" s="3" t="s">
        <v>34</v>
      </c>
      <c r="O20" s="2" t="str">
        <f aca="false">IF(COUNTIFS('Execution Steps'!$B$2:$B$49,A20,'Execution Steps'!$G$2:$G$49,"Fail")&gt;0,"Fail",IF(COUNTIFS('Execution Steps'!$B$2:$B$49,A20,'Execution Steps'!$G$2:$G$49,"Blocked")&gt;0,"Blocked",IF(COUNTIFS('Execution Steps'!$B$2:$B$49,A20,'Execution Steps'!$G$2:$G$49,"Pass")=COUNTIF('Execution Steps'!$B$2:$B$49,A20),"Pass",IF(COUNTIFS('Execution Steps'!$B$2:$B$49,A20,'Execution Steps'!$G$2:$G$49,"Pass")=0,"Not Executed","Partially Executed"))))</f>
        <v>Not Executed</v>
      </c>
      <c r="P20" s="4" t="s">
        <v>35</v>
      </c>
      <c r="Q20" s="4" t="s">
        <v>35</v>
      </c>
      <c r="R20" s="2" t="s">
        <v>136</v>
      </c>
      <c r="S20" s="3" t="s">
        <v>137</v>
      </c>
      <c r="T20" s="2" t="s">
        <v>198</v>
      </c>
      <c r="U20" s="3" t="str">
        <f aca="false">IF(O20="Not Executed","C - NOT EXECUTED",IF(O20="Blocked","D - BLOCKED","A - VERIFIED (attach evidence "&amp;T20&amp;")"))</f>
        <v>C - NOT EXECUTED</v>
      </c>
    </row>
    <row r="21" customFormat="false" ht="23.85" hidden="false" customHeight="false" outlineLevel="0" collapsed="false">
      <c r="A21" s="2" t="s">
        <v>199</v>
      </c>
      <c r="B21" s="2" t="s">
        <v>200</v>
      </c>
      <c r="C21" s="3" t="s">
        <v>174</v>
      </c>
      <c r="D21" s="3" t="s">
        <v>201</v>
      </c>
      <c r="E21" s="3" t="s">
        <v>202</v>
      </c>
      <c r="F21" s="3" t="s">
        <v>203</v>
      </c>
      <c r="G21" s="2" t="s">
        <v>27</v>
      </c>
      <c r="H21" s="3" t="s">
        <v>28</v>
      </c>
      <c r="I21" s="2" t="s">
        <v>52</v>
      </c>
      <c r="J21" s="2" t="s">
        <v>52</v>
      </c>
      <c r="K21" s="3" t="s">
        <v>204</v>
      </c>
      <c r="L21" s="3" t="s">
        <v>205</v>
      </c>
      <c r="M21" s="3" t="s">
        <v>206</v>
      </c>
      <c r="N21" s="3" t="s">
        <v>34</v>
      </c>
      <c r="O21" s="2" t="str">
        <f aca="false">IF(COUNTIFS('Execution Steps'!$B$2:$B$49,A21,'Execution Steps'!$G$2:$G$49,"Fail")&gt;0,"Fail",IF(COUNTIFS('Execution Steps'!$B$2:$B$49,A21,'Execution Steps'!$G$2:$G$49,"Blocked")&gt;0,"Blocked",IF(COUNTIFS('Execution Steps'!$B$2:$B$49,A21,'Execution Steps'!$G$2:$G$49,"Pass")=COUNTIF('Execution Steps'!$B$2:$B$49,A21),"Pass",IF(COUNTIFS('Execution Steps'!$B$2:$B$49,A21,'Execution Steps'!$G$2:$G$49,"Pass")=0,"Not Executed","Partially Executed"))))</f>
        <v>Not Executed</v>
      </c>
      <c r="P21" s="4" t="s">
        <v>35</v>
      </c>
      <c r="Q21" s="4" t="s">
        <v>35</v>
      </c>
      <c r="R21" s="2" t="s">
        <v>136</v>
      </c>
      <c r="S21" s="3" t="s">
        <v>137</v>
      </c>
      <c r="T21" s="2" t="s">
        <v>207</v>
      </c>
      <c r="U21" s="3" t="str">
        <f aca="false">IF(O21="Not Executed","C - NOT EXECUTED",IF(O21="Blocked","D - BLOCKED","A - VERIFIED (attach evidence "&amp;T21&amp;")"))</f>
        <v>C - NOT EXECUTED</v>
      </c>
    </row>
    <row r="22" customFormat="false" ht="23.85" hidden="false" customHeight="false" outlineLevel="0" collapsed="false">
      <c r="A22" s="2" t="s">
        <v>208</v>
      </c>
      <c r="B22" s="2" t="s">
        <v>209</v>
      </c>
      <c r="C22" s="3" t="s">
        <v>174</v>
      </c>
      <c r="D22" s="3" t="s">
        <v>210</v>
      </c>
      <c r="E22" s="3" t="s">
        <v>211</v>
      </c>
      <c r="F22" s="3" t="s">
        <v>212</v>
      </c>
      <c r="G22" s="2" t="s">
        <v>27</v>
      </c>
      <c r="H22" s="3" t="s">
        <v>28</v>
      </c>
      <c r="I22" s="2" t="s">
        <v>29</v>
      </c>
      <c r="J22" s="2" t="s">
        <v>30</v>
      </c>
      <c r="K22" s="3" t="s">
        <v>204</v>
      </c>
      <c r="L22" s="3" t="s">
        <v>213</v>
      </c>
      <c r="M22" s="3" t="s">
        <v>214</v>
      </c>
      <c r="N22" s="3" t="s">
        <v>34</v>
      </c>
      <c r="O22" s="2" t="str">
        <f aca="false">IF(COUNTIFS('Execution Steps'!$B$2:$B$49,A22,'Execution Steps'!$G$2:$G$49,"Fail")&gt;0,"Fail",IF(COUNTIFS('Execution Steps'!$B$2:$B$49,A22,'Execution Steps'!$G$2:$G$49,"Blocked")&gt;0,"Blocked",IF(COUNTIFS('Execution Steps'!$B$2:$B$49,A22,'Execution Steps'!$G$2:$G$49,"Pass")=COUNTIF('Execution Steps'!$B$2:$B$49,A22),"Pass",IF(COUNTIFS('Execution Steps'!$B$2:$B$49,A22,'Execution Steps'!$G$2:$G$49,"Pass")=0,"Not Executed","Partially Executed"))))</f>
        <v>Not Executed</v>
      </c>
      <c r="P22" s="4" t="s">
        <v>35</v>
      </c>
      <c r="Q22" s="4" t="s">
        <v>35</v>
      </c>
      <c r="R22" s="2" t="s">
        <v>136</v>
      </c>
      <c r="S22" s="3" t="s">
        <v>137</v>
      </c>
      <c r="T22" s="2" t="s">
        <v>215</v>
      </c>
      <c r="U22" s="3" t="str">
        <f aca="false">IF(O22="Not Executed","C - NOT EXECUTED",IF(O22="Blocked","D - BLOCKED","A - VERIFIED (attach evidence "&amp;T22&amp;")"))</f>
        <v>C - NOT EXECUTED</v>
      </c>
    </row>
  </sheetData>
  <autoFilter ref="A1:U22"/>
  <conditionalFormatting sqref="O2:O22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Executed"</formula>
    </cfRule>
    <cfRule type="cellIs" priority="6" operator="equal" aboveAverage="0" equalAverage="0" bottom="0" percent="0" rank="0" text="" dxfId="9">
      <formula>"Partially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216</v>
      </c>
      <c r="B1" s="1" t="s">
        <v>217</v>
      </c>
      <c r="C1" s="1" t="s">
        <v>218</v>
      </c>
      <c r="D1" s="1" t="s">
        <v>219</v>
      </c>
      <c r="E1" s="1" t="s">
        <v>12</v>
      </c>
      <c r="F1" s="1" t="s">
        <v>13</v>
      </c>
      <c r="G1" s="1" t="s">
        <v>14</v>
      </c>
      <c r="H1" s="1" t="s">
        <v>220</v>
      </c>
    </row>
    <row r="2" customFormat="false" ht="23.85" hidden="false" customHeight="false" outlineLevel="0" collapsed="false">
      <c r="A2" s="2" t="s">
        <v>221</v>
      </c>
      <c r="B2" s="2" t="s">
        <v>21</v>
      </c>
      <c r="C2" s="3" t="s">
        <v>23</v>
      </c>
      <c r="D2" s="3" t="s">
        <v>222</v>
      </c>
      <c r="E2" s="3" t="s">
        <v>223</v>
      </c>
      <c r="F2" s="3" t="s">
        <v>34</v>
      </c>
      <c r="G2" s="2" t="str">
        <f aca="false">INDEX('Test Cases'!$O$2:$O$22,MATCH(B2,'Test Cases'!$A$2:$A$22,0))</f>
        <v>Not Executed</v>
      </c>
      <c r="H2" s="2" t="s">
        <v>38</v>
      </c>
    </row>
    <row r="3" customFormat="false" ht="23.85" hidden="false" customHeight="false" outlineLevel="0" collapsed="false">
      <c r="A3" s="2" t="s">
        <v>224</v>
      </c>
      <c r="B3" s="2" t="s">
        <v>39</v>
      </c>
      <c r="C3" s="3" t="s">
        <v>23</v>
      </c>
      <c r="D3" s="3" t="s">
        <v>225</v>
      </c>
      <c r="E3" s="3" t="s">
        <v>226</v>
      </c>
      <c r="F3" s="3" t="s">
        <v>34</v>
      </c>
      <c r="G3" s="2" t="str">
        <f aca="false">INDEX('Test Cases'!$O$2:$O$22,MATCH(B3,'Test Cases'!$A$2:$A$22,0))</f>
        <v>Not Executed</v>
      </c>
      <c r="H3" s="2" t="s">
        <v>38</v>
      </c>
    </row>
    <row r="4" customFormat="false" ht="23.85" hidden="false" customHeight="false" outlineLevel="0" collapsed="false">
      <c r="A4" s="2" t="s">
        <v>227</v>
      </c>
      <c r="B4" s="2" t="s">
        <v>57</v>
      </c>
      <c r="C4" s="3" t="s">
        <v>59</v>
      </c>
      <c r="D4" s="3" t="s">
        <v>228</v>
      </c>
      <c r="E4" s="3" t="s">
        <v>229</v>
      </c>
      <c r="F4" s="3" t="s">
        <v>34</v>
      </c>
      <c r="G4" s="2" t="str">
        <f aca="false">INDEX('Test Cases'!$O$2:$O$22,MATCH(B4,'Test Cases'!$A$2:$A$22,0))</f>
        <v>Not Executed</v>
      </c>
      <c r="H4" s="2" t="s">
        <v>67</v>
      </c>
    </row>
    <row r="5" customFormat="false" ht="23.85" hidden="false" customHeight="false" outlineLevel="0" collapsed="false">
      <c r="A5" s="2" t="s">
        <v>230</v>
      </c>
      <c r="B5" s="2" t="s">
        <v>78</v>
      </c>
      <c r="C5" s="3" t="s">
        <v>59</v>
      </c>
      <c r="D5" s="3" t="s">
        <v>231</v>
      </c>
      <c r="E5" s="3" t="s">
        <v>232</v>
      </c>
      <c r="F5" s="3" t="s">
        <v>34</v>
      </c>
      <c r="G5" s="2" t="str">
        <f aca="false">INDEX('Test Cases'!$O$2:$O$22,MATCH(B5,'Test Cases'!$A$2:$A$22,0))</f>
        <v>Not Executed</v>
      </c>
      <c r="H5" s="2" t="s">
        <v>85</v>
      </c>
    </row>
    <row r="6" customFormat="false" ht="23.85" hidden="false" customHeight="false" outlineLevel="0" collapsed="false">
      <c r="A6" s="2" t="s">
        <v>233</v>
      </c>
      <c r="B6" s="2" t="s">
        <v>86</v>
      </c>
      <c r="C6" s="3" t="s">
        <v>59</v>
      </c>
      <c r="D6" s="3" t="s">
        <v>234</v>
      </c>
      <c r="E6" s="3" t="s">
        <v>235</v>
      </c>
      <c r="F6" s="3" t="s">
        <v>34</v>
      </c>
      <c r="G6" s="2" t="str">
        <f aca="false">INDEX('Test Cases'!$O$2:$O$22,MATCH(B6,'Test Cases'!$A$2:$A$22,0))</f>
        <v>Not Executed</v>
      </c>
      <c r="H6" s="2" t="s">
        <v>94</v>
      </c>
    </row>
    <row r="7" customFormat="false" ht="23.85" hidden="false" customHeight="false" outlineLevel="0" collapsed="false">
      <c r="A7" s="2" t="s">
        <v>236</v>
      </c>
      <c r="B7" s="2" t="s">
        <v>102</v>
      </c>
      <c r="C7" s="3" t="s">
        <v>104</v>
      </c>
      <c r="D7" s="3" t="s">
        <v>237</v>
      </c>
      <c r="E7" s="3" t="s">
        <v>238</v>
      </c>
      <c r="F7" s="3" t="s">
        <v>34</v>
      </c>
      <c r="G7" s="2" t="str">
        <f aca="false">INDEX('Test Cases'!$O$2:$O$22,MATCH(B7,'Test Cases'!$A$2:$A$22,0))</f>
        <v>Not Executed</v>
      </c>
      <c r="H7" s="2" t="s">
        <v>110</v>
      </c>
    </row>
    <row r="8" customFormat="false" ht="23.85" hidden="false" customHeight="false" outlineLevel="0" collapsed="false">
      <c r="A8" s="2" t="s">
        <v>239</v>
      </c>
      <c r="B8" s="2" t="s">
        <v>118</v>
      </c>
      <c r="C8" s="3" t="s">
        <v>104</v>
      </c>
      <c r="D8" s="3" t="s">
        <v>240</v>
      </c>
      <c r="E8" s="3" t="s">
        <v>241</v>
      </c>
      <c r="F8" s="3" t="s">
        <v>34</v>
      </c>
      <c r="G8" s="2" t="str">
        <f aca="false">INDEX('Test Cases'!$O$2:$O$22,MATCH(B8,'Test Cases'!$A$2:$A$22,0))</f>
        <v>Not Executed</v>
      </c>
      <c r="H8" s="2" t="s">
        <v>128</v>
      </c>
    </row>
    <row r="9" customFormat="false" ht="23.85" hidden="false" customHeight="false" outlineLevel="0" collapsed="false">
      <c r="A9" s="2" t="s">
        <v>242</v>
      </c>
      <c r="B9" s="2" t="s">
        <v>139</v>
      </c>
      <c r="C9" s="3" t="s">
        <v>141</v>
      </c>
      <c r="D9" s="3" t="s">
        <v>243</v>
      </c>
      <c r="E9" s="3" t="s">
        <v>244</v>
      </c>
      <c r="F9" s="3" t="s">
        <v>34</v>
      </c>
      <c r="G9" s="2" t="str">
        <f aca="false">INDEX('Test Cases'!$O$2:$O$22,MATCH(B9,'Test Cases'!$A$2:$A$22,0))</f>
        <v>Not Executed</v>
      </c>
      <c r="H9" s="2" t="s">
        <v>147</v>
      </c>
    </row>
    <row r="10" customFormat="false" ht="23.85" hidden="false" customHeight="false" outlineLevel="0" collapsed="false">
      <c r="A10" s="2" t="s">
        <v>245</v>
      </c>
      <c r="B10" s="2" t="s">
        <v>155</v>
      </c>
      <c r="C10" s="3" t="s">
        <v>141</v>
      </c>
      <c r="D10" s="3" t="s">
        <v>246</v>
      </c>
      <c r="E10" s="3" t="s">
        <v>247</v>
      </c>
      <c r="F10" s="3" t="s">
        <v>34</v>
      </c>
      <c r="G10" s="2" t="str">
        <f aca="false">INDEX('Test Cases'!$O$2:$O$22,MATCH(B10,'Test Cases'!$A$2:$A$22,0))</f>
        <v>Not Executed</v>
      </c>
      <c r="H10" s="2" t="s">
        <v>163</v>
      </c>
    </row>
    <row r="11" customFormat="false" ht="23.85" hidden="false" customHeight="false" outlineLevel="0" collapsed="false">
      <c r="A11" s="2" t="s">
        <v>248</v>
      </c>
      <c r="B11" s="2" t="s">
        <v>172</v>
      </c>
      <c r="C11" s="3" t="s">
        <v>174</v>
      </c>
      <c r="D11" s="3" t="s">
        <v>249</v>
      </c>
      <c r="E11" s="3" t="s">
        <v>250</v>
      </c>
      <c r="F11" s="3" t="s">
        <v>34</v>
      </c>
      <c r="G11" s="2" t="str">
        <f aca="false">INDEX('Test Cases'!$O$2:$O$22,MATCH(B11,'Test Cases'!$A$2:$A$22,0))</f>
        <v>Not Executed</v>
      </c>
      <c r="H11" s="2" t="s">
        <v>182</v>
      </c>
    </row>
    <row r="12" customFormat="false" ht="23.85" hidden="false" customHeight="false" outlineLevel="0" collapsed="false">
      <c r="A12" s="2" t="s">
        <v>251</v>
      </c>
      <c r="B12" s="2" t="s">
        <v>208</v>
      </c>
      <c r="C12" s="3" t="s">
        <v>174</v>
      </c>
      <c r="D12" s="3" t="s">
        <v>252</v>
      </c>
      <c r="E12" s="3" t="s">
        <v>253</v>
      </c>
      <c r="F12" s="3" t="s">
        <v>34</v>
      </c>
      <c r="G12" s="2" t="str">
        <f aca="false">INDEX('Test Cases'!$O$2:$O$22,MATCH(B12,'Test Cases'!$A$2:$A$22,0))</f>
        <v>Not Executed</v>
      </c>
      <c r="H12" s="2" t="s">
        <v>215</v>
      </c>
    </row>
  </sheetData>
  <autoFilter ref="A1:H12"/>
  <conditionalFormatting sqref="G2:G12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Executed"</formula>
    </cfRule>
    <cfRule type="cellIs" priority="6" operator="equal" aboveAverage="0" equalAverage="0" bottom="0" percent="0" rank="0" text="" dxfId="9">
      <formula>"Partially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46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218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17</v>
      </c>
      <c r="I1" s="1" t="s">
        <v>260</v>
      </c>
      <c r="J1" s="1" t="s">
        <v>261</v>
      </c>
    </row>
    <row r="2" customFormat="false" ht="23.85" hidden="false" customHeight="false" outlineLevel="0" collapsed="false">
      <c r="A2" s="3" t="s">
        <v>23</v>
      </c>
      <c r="B2" s="2" t="s">
        <v>36</v>
      </c>
      <c r="C2" s="2" t="s">
        <v>262</v>
      </c>
      <c r="D2" s="3" t="s">
        <v>263</v>
      </c>
      <c r="E2" s="2" t="s">
        <v>36</v>
      </c>
      <c r="F2" s="3" t="s">
        <v>264</v>
      </c>
      <c r="G2" s="3" t="s">
        <v>265</v>
      </c>
      <c r="H2" s="2" t="s">
        <v>36</v>
      </c>
      <c r="I2" s="3" t="s">
        <v>266</v>
      </c>
      <c r="J2" s="3" t="s">
        <v>267</v>
      </c>
    </row>
    <row r="3" customFormat="false" ht="23.85" hidden="false" customHeight="false" outlineLevel="0" collapsed="false">
      <c r="A3" s="3" t="s">
        <v>59</v>
      </c>
      <c r="B3" s="2" t="s">
        <v>36</v>
      </c>
      <c r="C3" s="2" t="s">
        <v>262</v>
      </c>
      <c r="D3" s="3" t="s">
        <v>268</v>
      </c>
      <c r="E3" s="2" t="s">
        <v>36</v>
      </c>
      <c r="F3" s="3" t="s">
        <v>269</v>
      </c>
      <c r="G3" s="3" t="s">
        <v>265</v>
      </c>
      <c r="H3" s="2" t="s">
        <v>36</v>
      </c>
      <c r="I3" s="3" t="s">
        <v>270</v>
      </c>
      <c r="J3" s="3" t="s">
        <v>267</v>
      </c>
    </row>
    <row r="4" customFormat="false" ht="23.85" hidden="false" customHeight="false" outlineLevel="0" collapsed="false">
      <c r="A4" s="3" t="s">
        <v>104</v>
      </c>
      <c r="B4" s="2" t="s">
        <v>36</v>
      </c>
      <c r="C4" s="2" t="s">
        <v>29</v>
      </c>
      <c r="D4" s="3" t="s">
        <v>271</v>
      </c>
      <c r="E4" s="2" t="s">
        <v>36</v>
      </c>
      <c r="F4" s="3" t="s">
        <v>264</v>
      </c>
      <c r="G4" s="3" t="s">
        <v>272</v>
      </c>
      <c r="H4" s="2" t="s">
        <v>126</v>
      </c>
      <c r="I4" s="3" t="s">
        <v>273</v>
      </c>
      <c r="J4" s="3" t="s">
        <v>274</v>
      </c>
    </row>
    <row r="5" customFormat="false" ht="23.85" hidden="false" customHeight="false" outlineLevel="0" collapsed="false">
      <c r="A5" s="3" t="s">
        <v>141</v>
      </c>
      <c r="B5" s="2" t="s">
        <v>36</v>
      </c>
      <c r="C5" s="2" t="s">
        <v>52</v>
      </c>
      <c r="D5" s="3" t="s">
        <v>275</v>
      </c>
      <c r="E5" s="2" t="s">
        <v>36</v>
      </c>
      <c r="F5" s="3" t="s">
        <v>264</v>
      </c>
      <c r="G5" s="3" t="s">
        <v>276</v>
      </c>
      <c r="H5" s="2" t="s">
        <v>36</v>
      </c>
      <c r="I5" s="3" t="s">
        <v>277</v>
      </c>
      <c r="J5" s="3" t="s">
        <v>267</v>
      </c>
    </row>
    <row r="6" customFormat="false" ht="23.85" hidden="false" customHeight="false" outlineLevel="0" collapsed="false">
      <c r="A6" s="3" t="s">
        <v>174</v>
      </c>
      <c r="B6" s="2" t="s">
        <v>36</v>
      </c>
      <c r="C6" s="2" t="s">
        <v>29</v>
      </c>
      <c r="D6" s="3" t="s">
        <v>136</v>
      </c>
      <c r="E6" s="2" t="s">
        <v>36</v>
      </c>
      <c r="F6" s="3" t="s">
        <v>36</v>
      </c>
      <c r="G6" s="3" t="s">
        <v>278</v>
      </c>
      <c r="H6" s="2" t="s">
        <v>126</v>
      </c>
      <c r="I6" s="3" t="s">
        <v>279</v>
      </c>
      <c r="J6" s="3" t="s">
        <v>280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1" t="s">
        <v>281</v>
      </c>
      <c r="B1" s="1" t="s">
        <v>282</v>
      </c>
      <c r="C1" s="1" t="s">
        <v>283</v>
      </c>
      <c r="D1" s="1" t="s">
        <v>284</v>
      </c>
      <c r="E1" s="1" t="s">
        <v>12</v>
      </c>
      <c r="F1" s="1" t="s">
        <v>13</v>
      </c>
      <c r="G1" s="1" t="s">
        <v>14</v>
      </c>
      <c r="H1" s="1" t="s">
        <v>220</v>
      </c>
    </row>
    <row r="2" customFormat="false" ht="23.85" hidden="false" customHeight="false" outlineLevel="0" collapsed="false">
      <c r="A2" s="2" t="n">
        <v>1</v>
      </c>
      <c r="B2" s="2" t="s">
        <v>21</v>
      </c>
      <c r="C2" s="3" t="s">
        <v>285</v>
      </c>
      <c r="D2" s="3" t="s">
        <v>286</v>
      </c>
      <c r="E2" s="3" t="s">
        <v>287</v>
      </c>
      <c r="F2" s="3" t="s">
        <v>34</v>
      </c>
      <c r="G2" s="5" t="s">
        <v>288</v>
      </c>
      <c r="H2" s="2" t="s">
        <v>38</v>
      </c>
    </row>
    <row r="3" customFormat="false" ht="23.85" hidden="false" customHeight="false" outlineLevel="0" collapsed="false">
      <c r="A3" s="2" t="n">
        <v>2</v>
      </c>
      <c r="B3" s="2" t="s">
        <v>21</v>
      </c>
      <c r="C3" s="3" t="s">
        <v>289</v>
      </c>
      <c r="D3" s="3" t="s">
        <v>290</v>
      </c>
      <c r="E3" s="3" t="s">
        <v>291</v>
      </c>
      <c r="F3" s="3" t="s">
        <v>34</v>
      </c>
      <c r="G3" s="5" t="s">
        <v>288</v>
      </c>
      <c r="H3" s="2" t="s">
        <v>38</v>
      </c>
    </row>
    <row r="4" customFormat="false" ht="23.85" hidden="false" customHeight="false" outlineLevel="0" collapsed="false">
      <c r="A4" s="2" t="n">
        <v>3</v>
      </c>
      <c r="B4" s="2" t="s">
        <v>21</v>
      </c>
      <c r="C4" s="3" t="s">
        <v>292</v>
      </c>
      <c r="D4" s="3" t="s">
        <v>290</v>
      </c>
      <c r="E4" s="3" t="s">
        <v>293</v>
      </c>
      <c r="F4" s="3" t="s">
        <v>34</v>
      </c>
      <c r="G4" s="5" t="s">
        <v>288</v>
      </c>
      <c r="H4" s="2" t="s">
        <v>38</v>
      </c>
    </row>
    <row r="5" customFormat="false" ht="23.85" hidden="false" customHeight="false" outlineLevel="0" collapsed="false">
      <c r="A5" s="2" t="n">
        <v>1</v>
      </c>
      <c r="B5" s="2" t="s">
        <v>39</v>
      </c>
      <c r="C5" s="3" t="s">
        <v>294</v>
      </c>
      <c r="D5" s="3" t="s">
        <v>290</v>
      </c>
      <c r="E5" s="3" t="s">
        <v>295</v>
      </c>
      <c r="F5" s="3" t="s">
        <v>34</v>
      </c>
      <c r="G5" s="5" t="s">
        <v>288</v>
      </c>
      <c r="H5" s="2" t="s">
        <v>38</v>
      </c>
    </row>
    <row r="6" customFormat="false" ht="23.85" hidden="false" customHeight="false" outlineLevel="0" collapsed="false">
      <c r="A6" s="2" t="n">
        <v>2</v>
      </c>
      <c r="B6" s="2" t="s">
        <v>39</v>
      </c>
      <c r="C6" s="3" t="s">
        <v>296</v>
      </c>
      <c r="D6" s="3" t="s">
        <v>297</v>
      </c>
      <c r="E6" s="3" t="s">
        <v>298</v>
      </c>
      <c r="F6" s="3" t="s">
        <v>34</v>
      </c>
      <c r="G6" s="5" t="s">
        <v>288</v>
      </c>
      <c r="H6" s="2" t="s">
        <v>38</v>
      </c>
    </row>
    <row r="7" customFormat="false" ht="23.85" hidden="false" customHeight="false" outlineLevel="0" collapsed="false">
      <c r="A7" s="2" t="n">
        <v>1</v>
      </c>
      <c r="B7" s="2" t="s">
        <v>47</v>
      </c>
      <c r="C7" s="3" t="s">
        <v>299</v>
      </c>
      <c r="D7" s="3" t="s">
        <v>290</v>
      </c>
      <c r="E7" s="3" t="s">
        <v>300</v>
      </c>
      <c r="F7" s="3" t="s">
        <v>34</v>
      </c>
      <c r="G7" s="5" t="s">
        <v>288</v>
      </c>
      <c r="H7" s="2" t="s">
        <v>56</v>
      </c>
    </row>
    <row r="8" customFormat="false" ht="23.85" hidden="false" customHeight="false" outlineLevel="0" collapsed="false">
      <c r="A8" s="2" t="n">
        <v>2</v>
      </c>
      <c r="B8" s="2" t="s">
        <v>47</v>
      </c>
      <c r="C8" s="3" t="s">
        <v>301</v>
      </c>
      <c r="D8" s="3" t="s">
        <v>302</v>
      </c>
      <c r="E8" s="3" t="s">
        <v>303</v>
      </c>
      <c r="F8" s="3" t="s">
        <v>34</v>
      </c>
      <c r="G8" s="5" t="s">
        <v>288</v>
      </c>
      <c r="H8" s="2" t="s">
        <v>56</v>
      </c>
    </row>
    <row r="9" customFormat="false" ht="23.85" hidden="false" customHeight="false" outlineLevel="0" collapsed="false">
      <c r="A9" s="2" t="n">
        <v>1</v>
      </c>
      <c r="B9" s="2" t="s">
        <v>57</v>
      </c>
      <c r="C9" s="3" t="s">
        <v>304</v>
      </c>
      <c r="D9" s="3" t="s">
        <v>305</v>
      </c>
      <c r="E9" s="3" t="s">
        <v>306</v>
      </c>
      <c r="F9" s="3" t="s">
        <v>34</v>
      </c>
      <c r="G9" s="5" t="s">
        <v>288</v>
      </c>
      <c r="H9" s="2" t="s">
        <v>67</v>
      </c>
    </row>
    <row r="10" customFormat="false" ht="23.85" hidden="false" customHeight="false" outlineLevel="0" collapsed="false">
      <c r="A10" s="2" t="n">
        <v>2</v>
      </c>
      <c r="B10" s="2" t="s">
        <v>57</v>
      </c>
      <c r="C10" s="3" t="s">
        <v>307</v>
      </c>
      <c r="D10" s="3" t="s">
        <v>308</v>
      </c>
      <c r="E10" s="3" t="s">
        <v>309</v>
      </c>
      <c r="F10" s="3" t="s">
        <v>34</v>
      </c>
      <c r="G10" s="5" t="s">
        <v>288</v>
      </c>
      <c r="H10" s="2" t="s">
        <v>67</v>
      </c>
    </row>
    <row r="11" customFormat="false" ht="23.85" hidden="false" customHeight="false" outlineLevel="0" collapsed="false">
      <c r="A11" s="2" t="n">
        <v>1</v>
      </c>
      <c r="B11" s="2" t="s">
        <v>68</v>
      </c>
      <c r="C11" s="3" t="s">
        <v>304</v>
      </c>
      <c r="D11" s="3" t="s">
        <v>305</v>
      </c>
      <c r="E11" s="3" t="s">
        <v>306</v>
      </c>
      <c r="F11" s="3" t="s">
        <v>34</v>
      </c>
      <c r="G11" s="5" t="s">
        <v>288</v>
      </c>
      <c r="H11" s="2" t="s">
        <v>77</v>
      </c>
    </row>
    <row r="12" customFormat="false" ht="23.85" hidden="false" customHeight="false" outlineLevel="0" collapsed="false">
      <c r="A12" s="2" t="n">
        <v>2</v>
      </c>
      <c r="B12" s="2" t="s">
        <v>68</v>
      </c>
      <c r="C12" s="3" t="s">
        <v>310</v>
      </c>
      <c r="D12" s="3" t="s">
        <v>311</v>
      </c>
      <c r="E12" s="3" t="s">
        <v>312</v>
      </c>
      <c r="F12" s="3" t="s">
        <v>34</v>
      </c>
      <c r="G12" s="5" t="s">
        <v>288</v>
      </c>
      <c r="H12" s="2" t="s">
        <v>77</v>
      </c>
    </row>
    <row r="13" customFormat="false" ht="23.85" hidden="false" customHeight="false" outlineLevel="0" collapsed="false">
      <c r="A13" s="2" t="n">
        <v>1</v>
      </c>
      <c r="B13" s="2" t="s">
        <v>78</v>
      </c>
      <c r="C13" s="3" t="s">
        <v>304</v>
      </c>
      <c r="D13" s="3" t="s">
        <v>305</v>
      </c>
      <c r="E13" s="3" t="s">
        <v>306</v>
      </c>
      <c r="F13" s="3" t="s">
        <v>34</v>
      </c>
      <c r="G13" s="5" t="s">
        <v>288</v>
      </c>
      <c r="H13" s="2" t="s">
        <v>85</v>
      </c>
    </row>
    <row r="14" customFormat="false" ht="23.85" hidden="false" customHeight="false" outlineLevel="0" collapsed="false">
      <c r="A14" s="2" t="n">
        <v>2</v>
      </c>
      <c r="B14" s="2" t="s">
        <v>78</v>
      </c>
      <c r="C14" s="3" t="s">
        <v>313</v>
      </c>
      <c r="D14" s="3" t="s">
        <v>314</v>
      </c>
      <c r="E14" s="3" t="s">
        <v>315</v>
      </c>
      <c r="F14" s="3" t="s">
        <v>34</v>
      </c>
      <c r="G14" s="5" t="s">
        <v>288</v>
      </c>
      <c r="H14" s="2" t="s">
        <v>85</v>
      </c>
    </row>
    <row r="15" customFormat="false" ht="23.85" hidden="false" customHeight="false" outlineLevel="0" collapsed="false">
      <c r="A15" s="2" t="n">
        <v>1</v>
      </c>
      <c r="B15" s="2" t="s">
        <v>86</v>
      </c>
      <c r="C15" s="3" t="s">
        <v>316</v>
      </c>
      <c r="D15" s="3" t="s">
        <v>317</v>
      </c>
      <c r="E15" s="3" t="s">
        <v>318</v>
      </c>
      <c r="F15" s="3" t="s">
        <v>34</v>
      </c>
      <c r="G15" s="5" t="s">
        <v>288</v>
      </c>
      <c r="H15" s="2" t="s">
        <v>94</v>
      </c>
    </row>
    <row r="16" customFormat="false" ht="23.85" hidden="false" customHeight="false" outlineLevel="0" collapsed="false">
      <c r="A16" s="2" t="n">
        <v>2</v>
      </c>
      <c r="B16" s="2" t="s">
        <v>86</v>
      </c>
      <c r="C16" s="3" t="s">
        <v>319</v>
      </c>
      <c r="D16" s="3" t="s">
        <v>290</v>
      </c>
      <c r="E16" s="3" t="s">
        <v>320</v>
      </c>
      <c r="F16" s="3" t="s">
        <v>34</v>
      </c>
      <c r="G16" s="5" t="s">
        <v>288</v>
      </c>
      <c r="H16" s="2" t="s">
        <v>94</v>
      </c>
    </row>
    <row r="17" customFormat="false" ht="23.85" hidden="false" customHeight="false" outlineLevel="0" collapsed="false">
      <c r="A17" s="2" t="n">
        <v>3</v>
      </c>
      <c r="B17" s="2" t="s">
        <v>86</v>
      </c>
      <c r="C17" s="3" t="s">
        <v>321</v>
      </c>
      <c r="D17" s="3" t="s">
        <v>290</v>
      </c>
      <c r="E17" s="3" t="s">
        <v>322</v>
      </c>
      <c r="F17" s="3" t="s">
        <v>34</v>
      </c>
      <c r="G17" s="5" t="s">
        <v>288</v>
      </c>
      <c r="H17" s="2" t="s">
        <v>94</v>
      </c>
    </row>
    <row r="18" customFormat="false" ht="23.85" hidden="false" customHeight="false" outlineLevel="0" collapsed="false">
      <c r="A18" s="2" t="n">
        <v>1</v>
      </c>
      <c r="B18" s="2" t="s">
        <v>95</v>
      </c>
      <c r="C18" s="3" t="s">
        <v>323</v>
      </c>
      <c r="D18" s="3" t="s">
        <v>324</v>
      </c>
      <c r="E18" s="3" t="s">
        <v>325</v>
      </c>
      <c r="F18" s="3" t="s">
        <v>34</v>
      </c>
      <c r="G18" s="5" t="s">
        <v>288</v>
      </c>
      <c r="H18" s="2" t="s">
        <v>94</v>
      </c>
    </row>
    <row r="19" customFormat="false" ht="23.85" hidden="false" customHeight="false" outlineLevel="0" collapsed="false">
      <c r="A19" s="2" t="n">
        <v>2</v>
      </c>
      <c r="B19" s="2" t="s">
        <v>95</v>
      </c>
      <c r="C19" s="3" t="s">
        <v>326</v>
      </c>
      <c r="D19" s="3" t="s">
        <v>327</v>
      </c>
      <c r="E19" s="3" t="s">
        <v>328</v>
      </c>
      <c r="F19" s="3" t="s">
        <v>34</v>
      </c>
      <c r="G19" s="5" t="s">
        <v>288</v>
      </c>
      <c r="H19" s="2" t="s">
        <v>94</v>
      </c>
    </row>
    <row r="20" customFormat="false" ht="23.85" hidden="false" customHeight="false" outlineLevel="0" collapsed="false">
      <c r="A20" s="2" t="n">
        <v>1</v>
      </c>
      <c r="B20" s="2" t="s">
        <v>102</v>
      </c>
      <c r="C20" s="3" t="s">
        <v>329</v>
      </c>
      <c r="D20" s="3" t="s">
        <v>330</v>
      </c>
      <c r="E20" s="3" t="s">
        <v>331</v>
      </c>
      <c r="F20" s="3" t="s">
        <v>34</v>
      </c>
      <c r="G20" s="5" t="s">
        <v>288</v>
      </c>
      <c r="H20" s="2" t="s">
        <v>110</v>
      </c>
    </row>
    <row r="21" customFormat="false" ht="23.85" hidden="false" customHeight="false" outlineLevel="0" collapsed="false">
      <c r="A21" s="2" t="n">
        <v>2</v>
      </c>
      <c r="B21" s="2" t="s">
        <v>102</v>
      </c>
      <c r="C21" s="3" t="s">
        <v>332</v>
      </c>
      <c r="D21" s="3" t="s">
        <v>290</v>
      </c>
      <c r="E21" s="3" t="s">
        <v>333</v>
      </c>
      <c r="F21" s="3" t="s">
        <v>34</v>
      </c>
      <c r="G21" s="5" t="s">
        <v>288</v>
      </c>
      <c r="H21" s="2" t="s">
        <v>110</v>
      </c>
    </row>
    <row r="22" customFormat="false" ht="23.85" hidden="false" customHeight="false" outlineLevel="0" collapsed="false">
      <c r="A22" s="2" t="n">
        <v>1</v>
      </c>
      <c r="B22" s="2" t="s">
        <v>111</v>
      </c>
      <c r="C22" s="3" t="s">
        <v>334</v>
      </c>
      <c r="D22" s="3" t="s">
        <v>335</v>
      </c>
      <c r="E22" s="3" t="s">
        <v>336</v>
      </c>
      <c r="F22" s="3" t="s">
        <v>34</v>
      </c>
      <c r="G22" s="5" t="s">
        <v>288</v>
      </c>
      <c r="H22" s="2" t="s">
        <v>110</v>
      </c>
    </row>
    <row r="23" customFormat="false" ht="23.85" hidden="false" customHeight="false" outlineLevel="0" collapsed="false">
      <c r="A23" s="2" t="n">
        <v>2</v>
      </c>
      <c r="B23" s="2" t="s">
        <v>111</v>
      </c>
      <c r="C23" s="3" t="s">
        <v>337</v>
      </c>
      <c r="D23" s="3" t="s">
        <v>116</v>
      </c>
      <c r="E23" s="3" t="s">
        <v>338</v>
      </c>
      <c r="F23" s="3" t="s">
        <v>34</v>
      </c>
      <c r="G23" s="5" t="s">
        <v>288</v>
      </c>
      <c r="H23" s="2" t="s">
        <v>110</v>
      </c>
    </row>
    <row r="24" customFormat="false" ht="23.85" hidden="false" customHeight="false" outlineLevel="0" collapsed="false">
      <c r="A24" s="2" t="n">
        <v>1</v>
      </c>
      <c r="B24" s="2" t="s">
        <v>118</v>
      </c>
      <c r="C24" s="3" t="s">
        <v>329</v>
      </c>
      <c r="D24" s="3" t="s">
        <v>330</v>
      </c>
      <c r="E24" s="3" t="s">
        <v>339</v>
      </c>
      <c r="F24" s="3" t="s">
        <v>34</v>
      </c>
      <c r="G24" s="5" t="s">
        <v>288</v>
      </c>
      <c r="H24" s="2" t="s">
        <v>128</v>
      </c>
    </row>
    <row r="25" customFormat="false" ht="23.85" hidden="false" customHeight="false" outlineLevel="0" collapsed="false">
      <c r="A25" s="2" t="n">
        <v>2</v>
      </c>
      <c r="B25" s="2" t="s">
        <v>118</v>
      </c>
      <c r="C25" s="3" t="s">
        <v>340</v>
      </c>
      <c r="D25" s="3" t="s">
        <v>341</v>
      </c>
      <c r="E25" s="3" t="s">
        <v>342</v>
      </c>
      <c r="F25" s="3" t="s">
        <v>34</v>
      </c>
      <c r="G25" s="5" t="s">
        <v>288</v>
      </c>
      <c r="H25" s="2" t="s">
        <v>128</v>
      </c>
    </row>
    <row r="26" customFormat="false" ht="23.85" hidden="false" customHeight="false" outlineLevel="0" collapsed="false">
      <c r="A26" s="2" t="n">
        <v>3</v>
      </c>
      <c r="B26" s="2" t="s">
        <v>118</v>
      </c>
      <c r="C26" s="3" t="s">
        <v>343</v>
      </c>
      <c r="D26" s="3" t="s">
        <v>290</v>
      </c>
      <c r="E26" s="3" t="s">
        <v>344</v>
      </c>
      <c r="F26" s="3" t="s">
        <v>34</v>
      </c>
      <c r="G26" s="5" t="s">
        <v>288</v>
      </c>
      <c r="H26" s="2" t="s">
        <v>128</v>
      </c>
    </row>
    <row r="27" customFormat="false" ht="23.85" hidden="false" customHeight="false" outlineLevel="0" collapsed="false">
      <c r="A27" s="2" t="n">
        <v>1</v>
      </c>
      <c r="B27" s="2" t="s">
        <v>129</v>
      </c>
      <c r="C27" s="3" t="s">
        <v>345</v>
      </c>
      <c r="D27" s="3" t="s">
        <v>341</v>
      </c>
      <c r="E27" s="3" t="s">
        <v>342</v>
      </c>
      <c r="F27" s="3" t="s">
        <v>34</v>
      </c>
      <c r="G27" s="5" t="s">
        <v>288</v>
      </c>
      <c r="H27" s="2" t="s">
        <v>138</v>
      </c>
    </row>
    <row r="28" customFormat="false" ht="23.85" hidden="false" customHeight="false" outlineLevel="0" collapsed="false">
      <c r="A28" s="2" t="n">
        <v>2</v>
      </c>
      <c r="B28" s="2" t="s">
        <v>129</v>
      </c>
      <c r="C28" s="3" t="s">
        <v>346</v>
      </c>
      <c r="D28" s="3" t="s">
        <v>347</v>
      </c>
      <c r="E28" s="3" t="s">
        <v>348</v>
      </c>
      <c r="F28" s="3" t="s">
        <v>34</v>
      </c>
      <c r="G28" s="5" t="s">
        <v>288</v>
      </c>
      <c r="H28" s="2" t="s">
        <v>138</v>
      </c>
    </row>
    <row r="29" customFormat="false" ht="23.85" hidden="false" customHeight="false" outlineLevel="0" collapsed="false">
      <c r="A29" s="2" t="n">
        <v>3</v>
      </c>
      <c r="B29" s="2" t="s">
        <v>129</v>
      </c>
      <c r="C29" s="3" t="s">
        <v>349</v>
      </c>
      <c r="D29" s="3" t="s">
        <v>350</v>
      </c>
      <c r="E29" s="3" t="s">
        <v>351</v>
      </c>
      <c r="F29" s="3" t="s">
        <v>34</v>
      </c>
      <c r="G29" s="5" t="s">
        <v>288</v>
      </c>
      <c r="H29" s="2" t="s">
        <v>138</v>
      </c>
    </row>
    <row r="30" customFormat="false" ht="23.85" hidden="false" customHeight="false" outlineLevel="0" collapsed="false">
      <c r="A30" s="2" t="n">
        <v>1</v>
      </c>
      <c r="B30" s="2" t="s">
        <v>139</v>
      </c>
      <c r="C30" s="3" t="s">
        <v>143</v>
      </c>
      <c r="D30" s="3" t="s">
        <v>352</v>
      </c>
      <c r="E30" s="3" t="s">
        <v>331</v>
      </c>
      <c r="F30" s="3" t="s">
        <v>34</v>
      </c>
      <c r="G30" s="5" t="s">
        <v>288</v>
      </c>
      <c r="H30" s="2" t="s">
        <v>147</v>
      </c>
    </row>
    <row r="31" customFormat="false" ht="23.85" hidden="false" customHeight="false" outlineLevel="0" collapsed="false">
      <c r="A31" s="2" t="n">
        <v>2</v>
      </c>
      <c r="B31" s="2" t="s">
        <v>139</v>
      </c>
      <c r="C31" s="3" t="s">
        <v>353</v>
      </c>
      <c r="D31" s="3" t="s">
        <v>290</v>
      </c>
      <c r="E31" s="3" t="s">
        <v>354</v>
      </c>
      <c r="F31" s="3" t="s">
        <v>34</v>
      </c>
      <c r="G31" s="5" t="s">
        <v>288</v>
      </c>
      <c r="H31" s="2" t="s">
        <v>147</v>
      </c>
    </row>
    <row r="32" customFormat="false" ht="23.85" hidden="false" customHeight="false" outlineLevel="0" collapsed="false">
      <c r="A32" s="2" t="n">
        <v>1</v>
      </c>
      <c r="B32" s="2" t="s">
        <v>148</v>
      </c>
      <c r="C32" s="3" t="s">
        <v>355</v>
      </c>
      <c r="D32" s="3" t="s">
        <v>153</v>
      </c>
      <c r="E32" s="3" t="s">
        <v>356</v>
      </c>
      <c r="F32" s="3" t="s">
        <v>34</v>
      </c>
      <c r="G32" s="5" t="s">
        <v>288</v>
      </c>
      <c r="H32" s="2" t="s">
        <v>147</v>
      </c>
    </row>
    <row r="33" customFormat="false" ht="23.85" hidden="false" customHeight="false" outlineLevel="0" collapsed="false">
      <c r="A33" s="2" t="n">
        <v>2</v>
      </c>
      <c r="B33" s="2" t="s">
        <v>148</v>
      </c>
      <c r="C33" s="3" t="s">
        <v>357</v>
      </c>
      <c r="D33" s="3" t="s">
        <v>290</v>
      </c>
      <c r="E33" s="3" t="s">
        <v>358</v>
      </c>
      <c r="F33" s="3" t="s">
        <v>34</v>
      </c>
      <c r="G33" s="5" t="s">
        <v>288</v>
      </c>
      <c r="H33" s="2" t="s">
        <v>147</v>
      </c>
    </row>
    <row r="34" customFormat="false" ht="23.85" hidden="false" customHeight="false" outlineLevel="0" collapsed="false">
      <c r="A34" s="2" t="n">
        <v>1</v>
      </c>
      <c r="B34" s="2" t="s">
        <v>155</v>
      </c>
      <c r="C34" s="3" t="s">
        <v>359</v>
      </c>
      <c r="D34" s="3" t="s">
        <v>360</v>
      </c>
      <c r="E34" s="3" t="s">
        <v>361</v>
      </c>
      <c r="F34" s="3" t="s">
        <v>34</v>
      </c>
      <c r="G34" s="5" t="s">
        <v>288</v>
      </c>
      <c r="H34" s="2" t="s">
        <v>163</v>
      </c>
    </row>
    <row r="35" customFormat="false" ht="23.85" hidden="false" customHeight="false" outlineLevel="0" collapsed="false">
      <c r="A35" s="2" t="n">
        <v>2</v>
      </c>
      <c r="B35" s="2" t="s">
        <v>155</v>
      </c>
      <c r="C35" s="3" t="s">
        <v>362</v>
      </c>
      <c r="D35" s="3" t="s">
        <v>290</v>
      </c>
      <c r="E35" s="3" t="s">
        <v>363</v>
      </c>
      <c r="F35" s="3" t="s">
        <v>34</v>
      </c>
      <c r="G35" s="5" t="s">
        <v>288</v>
      </c>
      <c r="H35" s="2" t="s">
        <v>163</v>
      </c>
    </row>
    <row r="36" customFormat="false" ht="23.85" hidden="false" customHeight="false" outlineLevel="0" collapsed="false">
      <c r="A36" s="2" t="n">
        <v>1</v>
      </c>
      <c r="B36" s="2" t="s">
        <v>164</v>
      </c>
      <c r="C36" s="3" t="s">
        <v>364</v>
      </c>
      <c r="D36" s="3" t="s">
        <v>365</v>
      </c>
      <c r="E36" s="3" t="s">
        <v>366</v>
      </c>
      <c r="F36" s="3" t="s">
        <v>34</v>
      </c>
      <c r="G36" s="5" t="s">
        <v>288</v>
      </c>
      <c r="H36" s="2" t="s">
        <v>171</v>
      </c>
    </row>
    <row r="37" customFormat="false" ht="23.85" hidden="false" customHeight="false" outlineLevel="0" collapsed="false">
      <c r="A37" s="2" t="n">
        <v>2</v>
      </c>
      <c r="B37" s="2" t="s">
        <v>164</v>
      </c>
      <c r="C37" s="3" t="s">
        <v>367</v>
      </c>
      <c r="D37" s="3" t="s">
        <v>290</v>
      </c>
      <c r="E37" s="3" t="s">
        <v>368</v>
      </c>
      <c r="F37" s="3" t="s">
        <v>34</v>
      </c>
      <c r="G37" s="5" t="s">
        <v>288</v>
      </c>
      <c r="H37" s="2" t="s">
        <v>171</v>
      </c>
    </row>
    <row r="38" customFormat="false" ht="23.85" hidden="false" customHeight="false" outlineLevel="0" collapsed="false">
      <c r="A38" s="2" t="n">
        <v>1</v>
      </c>
      <c r="B38" s="2" t="s">
        <v>172</v>
      </c>
      <c r="C38" s="3" t="s">
        <v>369</v>
      </c>
      <c r="D38" s="3" t="s">
        <v>370</v>
      </c>
      <c r="E38" s="3" t="s">
        <v>371</v>
      </c>
      <c r="F38" s="3" t="s">
        <v>34</v>
      </c>
      <c r="G38" s="5" t="s">
        <v>288</v>
      </c>
      <c r="H38" s="2" t="s">
        <v>182</v>
      </c>
    </row>
    <row r="39" customFormat="false" ht="23.85" hidden="false" customHeight="false" outlineLevel="0" collapsed="false">
      <c r="A39" s="2" t="n">
        <v>2</v>
      </c>
      <c r="B39" s="2" t="s">
        <v>172</v>
      </c>
      <c r="C39" s="3" t="s">
        <v>372</v>
      </c>
      <c r="D39" s="3" t="s">
        <v>290</v>
      </c>
      <c r="E39" s="3" t="s">
        <v>373</v>
      </c>
      <c r="F39" s="3" t="s">
        <v>34</v>
      </c>
      <c r="G39" s="5" t="s">
        <v>288</v>
      </c>
      <c r="H39" s="2" t="s">
        <v>182</v>
      </c>
    </row>
    <row r="40" customFormat="false" ht="23.85" hidden="false" customHeight="false" outlineLevel="0" collapsed="false">
      <c r="A40" s="2" t="n">
        <v>1</v>
      </c>
      <c r="B40" s="2" t="s">
        <v>183</v>
      </c>
      <c r="C40" s="3" t="s">
        <v>176</v>
      </c>
      <c r="D40" s="3" t="s">
        <v>290</v>
      </c>
      <c r="E40" s="3" t="s">
        <v>374</v>
      </c>
      <c r="F40" s="3" t="s">
        <v>34</v>
      </c>
      <c r="G40" s="5" t="s">
        <v>288</v>
      </c>
      <c r="H40" s="2" t="s">
        <v>190</v>
      </c>
    </row>
    <row r="41" customFormat="false" ht="23.85" hidden="false" customHeight="false" outlineLevel="0" collapsed="false">
      <c r="A41" s="2" t="n">
        <v>2</v>
      </c>
      <c r="B41" s="2" t="s">
        <v>183</v>
      </c>
      <c r="C41" s="3" t="s">
        <v>375</v>
      </c>
      <c r="D41" s="3" t="s">
        <v>376</v>
      </c>
      <c r="E41" s="3" t="s">
        <v>377</v>
      </c>
      <c r="F41" s="3" t="s">
        <v>34</v>
      </c>
      <c r="G41" s="5" t="s">
        <v>288</v>
      </c>
      <c r="H41" s="2" t="s">
        <v>190</v>
      </c>
    </row>
    <row r="42" customFormat="false" ht="23.85" hidden="false" customHeight="false" outlineLevel="0" collapsed="false">
      <c r="A42" s="2" t="n">
        <v>1</v>
      </c>
      <c r="B42" s="2" t="s">
        <v>191</v>
      </c>
      <c r="C42" s="3" t="s">
        <v>176</v>
      </c>
      <c r="D42" s="3" t="s">
        <v>290</v>
      </c>
      <c r="E42" s="3" t="s">
        <v>374</v>
      </c>
      <c r="F42" s="3" t="s">
        <v>34</v>
      </c>
      <c r="G42" s="5" t="s">
        <v>288</v>
      </c>
      <c r="H42" s="2" t="s">
        <v>198</v>
      </c>
    </row>
    <row r="43" customFormat="false" ht="23.85" hidden="false" customHeight="false" outlineLevel="0" collapsed="false">
      <c r="A43" s="2" t="n">
        <v>2</v>
      </c>
      <c r="B43" s="2" t="s">
        <v>191</v>
      </c>
      <c r="C43" s="3" t="s">
        <v>378</v>
      </c>
      <c r="D43" s="3" t="s">
        <v>379</v>
      </c>
      <c r="E43" s="3" t="s">
        <v>380</v>
      </c>
      <c r="F43" s="3" t="s">
        <v>34</v>
      </c>
      <c r="G43" s="5" t="s">
        <v>288</v>
      </c>
      <c r="H43" s="2" t="s">
        <v>198</v>
      </c>
    </row>
    <row r="44" customFormat="false" ht="23.85" hidden="false" customHeight="false" outlineLevel="0" collapsed="false">
      <c r="A44" s="2" t="n">
        <v>3</v>
      </c>
      <c r="B44" s="2" t="s">
        <v>191</v>
      </c>
      <c r="C44" s="3" t="s">
        <v>381</v>
      </c>
      <c r="D44" s="3" t="s">
        <v>137</v>
      </c>
      <c r="E44" s="3" t="s">
        <v>382</v>
      </c>
      <c r="F44" s="3" t="s">
        <v>34</v>
      </c>
      <c r="G44" s="5" t="s">
        <v>288</v>
      </c>
      <c r="H44" s="2" t="s">
        <v>198</v>
      </c>
    </row>
    <row r="45" customFormat="false" ht="23.85" hidden="false" customHeight="false" outlineLevel="0" collapsed="false">
      <c r="A45" s="2" t="n">
        <v>4</v>
      </c>
      <c r="B45" s="2" t="s">
        <v>191</v>
      </c>
      <c r="C45" s="3" t="s">
        <v>383</v>
      </c>
      <c r="D45" s="3" t="s">
        <v>290</v>
      </c>
      <c r="E45" s="3" t="s">
        <v>384</v>
      </c>
      <c r="F45" s="3" t="s">
        <v>34</v>
      </c>
      <c r="G45" s="5" t="s">
        <v>288</v>
      </c>
      <c r="H45" s="2" t="s">
        <v>198</v>
      </c>
    </row>
    <row r="46" customFormat="false" ht="23.85" hidden="false" customHeight="false" outlineLevel="0" collapsed="false">
      <c r="A46" s="2" t="n">
        <v>1</v>
      </c>
      <c r="B46" s="2" t="s">
        <v>199</v>
      </c>
      <c r="C46" s="3" t="s">
        <v>385</v>
      </c>
      <c r="D46" s="3" t="s">
        <v>386</v>
      </c>
      <c r="E46" s="3" t="s">
        <v>387</v>
      </c>
      <c r="F46" s="3" t="s">
        <v>34</v>
      </c>
      <c r="G46" s="5" t="s">
        <v>288</v>
      </c>
      <c r="H46" s="2" t="s">
        <v>207</v>
      </c>
    </row>
    <row r="47" customFormat="false" ht="23.85" hidden="false" customHeight="false" outlineLevel="0" collapsed="false">
      <c r="A47" s="2" t="n">
        <v>2</v>
      </c>
      <c r="B47" s="2" t="s">
        <v>199</v>
      </c>
      <c r="C47" s="3" t="s">
        <v>388</v>
      </c>
      <c r="D47" s="3" t="s">
        <v>290</v>
      </c>
      <c r="E47" s="3" t="s">
        <v>389</v>
      </c>
      <c r="F47" s="3" t="s">
        <v>34</v>
      </c>
      <c r="G47" s="5" t="s">
        <v>288</v>
      </c>
      <c r="H47" s="2" t="s">
        <v>207</v>
      </c>
    </row>
    <row r="48" customFormat="false" ht="23.85" hidden="false" customHeight="false" outlineLevel="0" collapsed="false">
      <c r="A48" s="2" t="n">
        <v>1</v>
      </c>
      <c r="B48" s="2" t="s">
        <v>208</v>
      </c>
      <c r="C48" s="3" t="s">
        <v>390</v>
      </c>
      <c r="D48" s="3" t="s">
        <v>391</v>
      </c>
      <c r="E48" s="3" t="s">
        <v>392</v>
      </c>
      <c r="F48" s="3" t="s">
        <v>34</v>
      </c>
      <c r="G48" s="5" t="s">
        <v>288</v>
      </c>
      <c r="H48" s="2" t="s">
        <v>215</v>
      </c>
    </row>
    <row r="49" customFormat="false" ht="23.85" hidden="false" customHeight="false" outlineLevel="0" collapsed="false">
      <c r="A49" s="2" t="n">
        <v>2</v>
      </c>
      <c r="B49" s="2" t="s">
        <v>208</v>
      </c>
      <c r="C49" s="3" t="s">
        <v>393</v>
      </c>
      <c r="D49" s="3" t="s">
        <v>290</v>
      </c>
      <c r="E49" s="3" t="s">
        <v>394</v>
      </c>
      <c r="F49" s="3" t="s">
        <v>34</v>
      </c>
      <c r="G49" s="5" t="s">
        <v>288</v>
      </c>
      <c r="H49" s="2" t="s">
        <v>215</v>
      </c>
    </row>
  </sheetData>
  <autoFilter ref="A1:H49"/>
  <conditionalFormatting sqref="G2:G49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Executed"</formula>
    </cfRule>
    <cfRule type="cellIs" priority="6" operator="equal" aboveAverage="0" equalAverage="0" bottom="0" percent="0" rank="0" text="" dxfId="9">
      <formula>"Partially Executed"</formula>
    </cfRule>
  </conditionalFormatting>
  <dataValidations count="1">
    <dataValidation allowBlank="false" errorStyle="stop" operator="between" showDropDown="false" showErrorMessage="false" showInputMessage="false" sqref="G2:G49" type="list">
      <formula1>"Pass,Fail,Not Executed,Blocked"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6" t="s">
        <v>395</v>
      </c>
      <c r="B1" s="6" t="s">
        <v>396</v>
      </c>
      <c r="C1" s="6" t="s">
        <v>397</v>
      </c>
    </row>
    <row r="2" customFormat="false" ht="15" hidden="false" customHeight="false" outlineLevel="0" collapsed="false">
      <c r="A2" s="7" t="s">
        <v>398</v>
      </c>
      <c r="B2" s="8" t="n">
        <f aca="false">COUNTA('Automation Candidates'!$A$2:$A$6)</f>
        <v>5</v>
      </c>
      <c r="C2" s="3" t="s">
        <v>399</v>
      </c>
    </row>
    <row r="3" customFormat="false" ht="15" hidden="false" customHeight="false" outlineLevel="0" collapsed="false">
      <c r="A3" s="7" t="s">
        <v>400</v>
      </c>
      <c r="B3" s="8" t="n">
        <f aca="false">COUNTA('Test Cases'!$A$2:$A$22)</f>
        <v>21</v>
      </c>
      <c r="C3" s="3" t="s">
        <v>401</v>
      </c>
    </row>
    <row r="4" customFormat="false" ht="15" hidden="false" customHeight="false" outlineLevel="0" collapsed="false">
      <c r="A4" s="7" t="s">
        <v>402</v>
      </c>
      <c r="B4" s="8" t="n">
        <f aca="false">COUNTA('Regression Suite'!$A$2:$A$12)</f>
        <v>11</v>
      </c>
      <c r="C4" s="3" t="s">
        <v>403</v>
      </c>
    </row>
    <row r="5" customFormat="false" ht="15" hidden="false" customHeight="false" outlineLevel="0" collapsed="false">
      <c r="A5" s="7" t="s">
        <v>404</v>
      </c>
      <c r="B5" s="8" t="n">
        <f aca="false">COUNTIF('Test Cases'!$O$2:$O$22,"Pass")</f>
        <v>0</v>
      </c>
      <c r="C5" s="3" t="s">
        <v>405</v>
      </c>
    </row>
    <row r="6" customFormat="false" ht="15" hidden="false" customHeight="false" outlineLevel="0" collapsed="false">
      <c r="A6" s="7" t="s">
        <v>406</v>
      </c>
      <c r="B6" s="8" t="n">
        <f aca="false">COUNTIF('Test Cases'!$O$2:$O$22,"Fail")</f>
        <v>0</v>
      </c>
      <c r="C6" s="3"/>
    </row>
    <row r="7" customFormat="false" ht="15" hidden="false" customHeight="false" outlineLevel="0" collapsed="false">
      <c r="A7" s="7" t="s">
        <v>407</v>
      </c>
      <c r="B7" s="8" t="n">
        <f aca="false">COUNTIF('Test Cases'!$O$2:$O$22,"Not Executed")</f>
        <v>21</v>
      </c>
      <c r="C7" s="3" t="s">
        <v>408</v>
      </c>
    </row>
    <row r="8" customFormat="false" ht="15" hidden="false" customHeight="false" outlineLevel="0" collapsed="false">
      <c r="A8" s="7" t="s">
        <v>409</v>
      </c>
      <c r="B8" s="8" t="n">
        <f aca="false">COUNTIF('Test Cases'!$O$2:$O$22,"Blocked")</f>
        <v>0</v>
      </c>
      <c r="C8" s="3" t="s">
        <v>410</v>
      </c>
    </row>
    <row r="9" customFormat="false" ht="15" hidden="false" customHeight="false" outlineLevel="0" collapsed="false">
      <c r="A9" s="7" t="s">
        <v>411</v>
      </c>
      <c r="B9" s="8" t="n">
        <f aca="false">COUNTIF('Test Cases'!$O$2:$O$22,"Partially Executed")</f>
        <v>0</v>
      </c>
      <c r="C9" s="3" t="s">
        <v>412</v>
      </c>
    </row>
    <row r="10" customFormat="false" ht="15" hidden="false" customHeight="false" outlineLevel="0" collapsed="false">
      <c r="A10" s="7" t="s">
        <v>413</v>
      </c>
      <c r="B10" s="8" t="str">
        <f aca="false">IF(B5+B6+B7+B8+B9=B3,"OK - totals reconcile","MISMATCH - review statuses")</f>
        <v>OK - totals reconcile</v>
      </c>
      <c r="C10" s="3" t="s">
        <v>414</v>
      </c>
    </row>
    <row r="11" customFormat="false" ht="15" hidden="false" customHeight="false" outlineLevel="0" collapsed="false">
      <c r="A11" s="7" t="s">
        <v>415</v>
      </c>
      <c r="B11" s="8" t="n">
        <f aca="false">COUNTIF('Regression Suite'!$G$2:$G$12,"Pass")</f>
        <v>0</v>
      </c>
      <c r="C11" s="3" t="s">
        <v>416</v>
      </c>
    </row>
    <row r="12" customFormat="false" ht="15" hidden="false" customHeight="false" outlineLevel="0" collapsed="false">
      <c r="A12" s="7" t="s">
        <v>417</v>
      </c>
      <c r="B12" s="8" t="n">
        <f aca="false">COUNTIF('Regression Suite'!$G$2:$G$12,"Fail")</f>
        <v>0</v>
      </c>
      <c r="C12" s="3"/>
    </row>
    <row r="13" customFormat="false" ht="15" hidden="false" customHeight="false" outlineLevel="0" collapsed="false">
      <c r="A13" s="7" t="s">
        <v>418</v>
      </c>
      <c r="B13" s="8" t="n">
        <f aca="false">COUNTIF('Regression Suite'!$G$2:$G$12,"Not Executed")</f>
        <v>11</v>
      </c>
      <c r="C13" s="3"/>
    </row>
    <row r="14" customFormat="false" ht="15" hidden="false" customHeight="false" outlineLevel="0" collapsed="false">
      <c r="A14" s="7" t="s">
        <v>419</v>
      </c>
      <c r="B14" s="8" t="n">
        <f aca="false">COUNTIF('Regression Suite'!$G$2:$G$12,"Blocked")+COUNTIF('Regression Suite'!$G$2:$G$12,"Partially Executed")</f>
        <v>0</v>
      </c>
      <c r="C14" s="3"/>
    </row>
    <row r="15" customFormat="false" ht="15" hidden="false" customHeight="false" outlineLevel="0" collapsed="false">
      <c r="A15" s="7" t="s">
        <v>420</v>
      </c>
      <c r="B15" s="8" t="str">
        <f aca="false">IF(B11+B12+B13+B14=B4,"OK - totals reconcile","MISMATCH - review statuses")</f>
        <v>OK - totals reconcile</v>
      </c>
      <c r="C15" s="3"/>
    </row>
    <row r="16" customFormat="false" ht="15" hidden="false" customHeight="false" outlineLevel="0" collapsed="false">
      <c r="A16" s="7" t="s">
        <v>421</v>
      </c>
      <c r="B16" s="9" t="str">
        <f aca="false">IF(B5+B6=0,"N/A - no executed tests",B5/(B5+B6))</f>
        <v>N/A - no executed tests</v>
      </c>
      <c r="C16" s="3" t="s">
        <v>422</v>
      </c>
    </row>
    <row r="17" customFormat="false" ht="23.85" hidden="false" customHeight="false" outlineLevel="0" collapsed="false">
      <c r="A17" s="7" t="s">
        <v>423</v>
      </c>
      <c r="B17" s="8" t="n">
        <v>0</v>
      </c>
      <c r="C17" s="3" t="s">
        <v>424</v>
      </c>
    </row>
    <row r="18" customFormat="false" ht="15" hidden="false" customHeight="false" outlineLevel="0" collapsed="false">
      <c r="A18" s="7" t="s">
        <v>425</v>
      </c>
      <c r="B18" s="8" t="n">
        <f aca="false">COUNTIF('Automation Candidates'!$H$2:$H$6,"Yes")+COUNTIF('Automation Candidates'!$H$2:$H$6,"Partial")</f>
        <v>5</v>
      </c>
      <c r="C18" s="3" t="s">
        <v>426</v>
      </c>
    </row>
    <row r="19" customFormat="false" ht="15" hidden="false" customHeight="false" outlineLevel="0" collapsed="false">
      <c r="A19" s="7" t="s">
        <v>427</v>
      </c>
      <c r="B19" s="8" t="n">
        <f aca="false">COUNTIF('Automation Candidates'!$H$2:$H$6,"Yes")</f>
        <v>3</v>
      </c>
      <c r="C19" s="3"/>
    </row>
    <row r="20" customFormat="false" ht="23.85" hidden="false" customHeight="false" outlineLevel="0" collapsed="false">
      <c r="A20" s="7" t="s">
        <v>428</v>
      </c>
      <c r="B20" s="8" t="n">
        <f aca="false">COUNTIF('Automation Candidates'!$H$2:$H$6,"Partial")+COUNTIF('Automation Candidates'!$H$2:$H$6,"No")</f>
        <v>2</v>
      </c>
      <c r="C20" s="3" t="s">
        <v>429</v>
      </c>
    </row>
    <row r="21" customFormat="false" ht="15" hidden="false" customHeight="false" outlineLevel="0" collapsed="false">
      <c r="A21" s="7" t="s">
        <v>430</v>
      </c>
      <c r="B21" s="8" t="n">
        <f aca="false">COUNTIF('Evidence Register'!$H$2:$H$18,"Supplied")</f>
        <v>0</v>
      </c>
      <c r="C21" s="3" t="s">
        <v>431</v>
      </c>
    </row>
    <row r="22" customFormat="false" ht="15" hidden="false" customHeight="false" outlineLevel="0" collapsed="false">
      <c r="A22" s="7" t="s">
        <v>432</v>
      </c>
      <c r="B22" s="8" t="n">
        <f aca="false">COUNTIF('Evidence Register'!$H$2:$H$18,"Pending")</f>
        <v>17</v>
      </c>
      <c r="C22" s="3" t="s">
        <v>431</v>
      </c>
    </row>
    <row r="23" customFormat="false" ht="15" hidden="false" customHeight="false" outlineLevel="0" collapsed="false">
      <c r="A23" s="7" t="s">
        <v>433</v>
      </c>
      <c r="B23" s="8" t="s">
        <v>434</v>
      </c>
      <c r="C23" s="3"/>
    </row>
    <row r="24" customFormat="false" ht="46.25" hidden="false" customHeight="false" outlineLevel="0" collapsed="false">
      <c r="A24" s="7" t="s">
        <v>435</v>
      </c>
      <c r="B24" s="8" t="s">
        <v>436</v>
      </c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" t="s">
        <v>220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14</v>
      </c>
      <c r="I1" s="1" t="s">
        <v>443</v>
      </c>
    </row>
    <row r="2" customFormat="false" ht="23.85" hidden="false" customHeight="false" outlineLevel="0" collapsed="false">
      <c r="A2" s="2" t="s">
        <v>38</v>
      </c>
      <c r="B2" s="2" t="s">
        <v>444</v>
      </c>
      <c r="C2" s="3" t="s">
        <v>445</v>
      </c>
      <c r="D2" s="3" t="s">
        <v>446</v>
      </c>
      <c r="E2" s="3" t="s">
        <v>447</v>
      </c>
      <c r="F2" s="3" t="s">
        <v>448</v>
      </c>
      <c r="G2" s="3" t="s">
        <v>449</v>
      </c>
      <c r="H2" s="5" t="s">
        <v>450</v>
      </c>
      <c r="I2" s="3" t="s">
        <v>451</v>
      </c>
    </row>
    <row r="3" customFormat="false" ht="15" hidden="false" customHeight="false" outlineLevel="0" collapsed="false">
      <c r="A3" s="2" t="s">
        <v>67</v>
      </c>
      <c r="B3" s="2" t="s">
        <v>452</v>
      </c>
      <c r="C3" s="3" t="s">
        <v>453</v>
      </c>
      <c r="D3" s="3" t="s">
        <v>57</v>
      </c>
      <c r="E3" s="3" t="s">
        <v>227</v>
      </c>
      <c r="F3" s="3" t="s">
        <v>454</v>
      </c>
      <c r="G3" s="3" t="s">
        <v>449</v>
      </c>
      <c r="H3" s="5" t="s">
        <v>450</v>
      </c>
      <c r="I3" s="3" t="s">
        <v>451</v>
      </c>
    </row>
    <row r="4" customFormat="false" ht="15" hidden="false" customHeight="false" outlineLevel="0" collapsed="false">
      <c r="A4" s="2" t="s">
        <v>94</v>
      </c>
      <c r="B4" s="2" t="s">
        <v>455</v>
      </c>
      <c r="C4" s="3" t="s">
        <v>456</v>
      </c>
      <c r="D4" s="3" t="s">
        <v>457</v>
      </c>
      <c r="E4" s="3" t="s">
        <v>233</v>
      </c>
      <c r="F4" s="3" t="s">
        <v>458</v>
      </c>
      <c r="G4" s="3" t="s">
        <v>449</v>
      </c>
      <c r="H4" s="5" t="s">
        <v>450</v>
      </c>
      <c r="I4" s="3" t="s">
        <v>451</v>
      </c>
    </row>
    <row r="5" customFormat="false" ht="23.85" hidden="false" customHeight="false" outlineLevel="0" collapsed="false">
      <c r="A5" s="2" t="s">
        <v>110</v>
      </c>
      <c r="B5" s="2" t="s">
        <v>459</v>
      </c>
      <c r="C5" s="3" t="s">
        <v>105</v>
      </c>
      <c r="D5" s="3" t="s">
        <v>460</v>
      </c>
      <c r="E5" s="3" t="s">
        <v>236</v>
      </c>
      <c r="F5" s="3" t="s">
        <v>461</v>
      </c>
      <c r="G5" s="3" t="s">
        <v>449</v>
      </c>
      <c r="H5" s="5" t="s">
        <v>450</v>
      </c>
      <c r="I5" s="3" t="s">
        <v>451</v>
      </c>
    </row>
    <row r="6" customFormat="false" ht="15" hidden="false" customHeight="false" outlineLevel="0" collapsed="false">
      <c r="A6" s="2" t="s">
        <v>128</v>
      </c>
      <c r="B6" s="2" t="s">
        <v>462</v>
      </c>
      <c r="C6" s="3" t="s">
        <v>120</v>
      </c>
      <c r="D6" s="3" t="s">
        <v>118</v>
      </c>
      <c r="E6" s="3" t="s">
        <v>239</v>
      </c>
      <c r="F6" s="3" t="s">
        <v>463</v>
      </c>
      <c r="G6" s="3" t="s">
        <v>449</v>
      </c>
      <c r="H6" s="5" t="s">
        <v>450</v>
      </c>
      <c r="I6" s="3" t="s">
        <v>451</v>
      </c>
    </row>
    <row r="7" customFormat="false" ht="15" hidden="false" customHeight="false" outlineLevel="0" collapsed="false">
      <c r="A7" s="2" t="s">
        <v>138</v>
      </c>
      <c r="B7" s="2" t="s">
        <v>464</v>
      </c>
      <c r="C7" s="3" t="s">
        <v>465</v>
      </c>
      <c r="D7" s="3" t="s">
        <v>129</v>
      </c>
      <c r="E7" s="3" t="s">
        <v>290</v>
      </c>
      <c r="F7" s="3" t="s">
        <v>466</v>
      </c>
      <c r="G7" s="3" t="s">
        <v>449</v>
      </c>
      <c r="H7" s="5" t="s">
        <v>450</v>
      </c>
      <c r="I7" s="3" t="s">
        <v>451</v>
      </c>
    </row>
    <row r="8" customFormat="false" ht="15" hidden="false" customHeight="false" outlineLevel="0" collapsed="false">
      <c r="A8" s="2" t="s">
        <v>147</v>
      </c>
      <c r="B8" s="2" t="s">
        <v>467</v>
      </c>
      <c r="C8" s="3" t="s">
        <v>142</v>
      </c>
      <c r="D8" s="3" t="s">
        <v>468</v>
      </c>
      <c r="E8" s="3" t="s">
        <v>242</v>
      </c>
      <c r="F8" s="3" t="s">
        <v>469</v>
      </c>
      <c r="G8" s="3" t="s">
        <v>449</v>
      </c>
      <c r="H8" s="5" t="s">
        <v>450</v>
      </c>
      <c r="I8" s="3" t="s">
        <v>451</v>
      </c>
    </row>
    <row r="9" customFormat="false" ht="15" hidden="false" customHeight="false" outlineLevel="0" collapsed="false">
      <c r="A9" s="2" t="s">
        <v>163</v>
      </c>
      <c r="B9" s="2" t="s">
        <v>470</v>
      </c>
      <c r="C9" s="3" t="s">
        <v>157</v>
      </c>
      <c r="D9" s="3" t="s">
        <v>155</v>
      </c>
      <c r="E9" s="3" t="s">
        <v>245</v>
      </c>
      <c r="F9" s="3" t="s">
        <v>471</v>
      </c>
      <c r="G9" s="3" t="s">
        <v>449</v>
      </c>
      <c r="H9" s="5" t="s">
        <v>450</v>
      </c>
      <c r="I9" s="3" t="s">
        <v>451</v>
      </c>
    </row>
    <row r="10" customFormat="false" ht="15" hidden="false" customHeight="false" outlineLevel="0" collapsed="false">
      <c r="A10" s="2" t="s">
        <v>182</v>
      </c>
      <c r="B10" s="2" t="s">
        <v>472</v>
      </c>
      <c r="C10" s="3" t="s">
        <v>473</v>
      </c>
      <c r="D10" s="3" t="s">
        <v>172</v>
      </c>
      <c r="E10" s="3" t="s">
        <v>248</v>
      </c>
      <c r="F10" s="3" t="s">
        <v>474</v>
      </c>
      <c r="G10" s="3" t="s">
        <v>449</v>
      </c>
      <c r="H10" s="5" t="s">
        <v>450</v>
      </c>
      <c r="I10" s="3" t="s">
        <v>451</v>
      </c>
    </row>
    <row r="11" customFormat="false" ht="15" hidden="false" customHeight="false" outlineLevel="0" collapsed="false">
      <c r="A11" s="2" t="s">
        <v>198</v>
      </c>
      <c r="B11" s="2" t="s">
        <v>475</v>
      </c>
      <c r="C11" s="3" t="s">
        <v>476</v>
      </c>
      <c r="D11" s="3" t="s">
        <v>191</v>
      </c>
      <c r="E11" s="3" t="s">
        <v>290</v>
      </c>
      <c r="F11" s="3" t="s">
        <v>477</v>
      </c>
      <c r="G11" s="3" t="s">
        <v>449</v>
      </c>
      <c r="H11" s="5" t="s">
        <v>450</v>
      </c>
      <c r="I11" s="3" t="s">
        <v>451</v>
      </c>
    </row>
    <row r="12" customFormat="false" ht="15" hidden="false" customHeight="false" outlineLevel="0" collapsed="false">
      <c r="A12" s="2" t="s">
        <v>207</v>
      </c>
      <c r="B12" s="2" t="s">
        <v>478</v>
      </c>
      <c r="C12" s="3" t="s">
        <v>479</v>
      </c>
      <c r="D12" s="3" t="s">
        <v>199</v>
      </c>
      <c r="E12" s="3" t="s">
        <v>290</v>
      </c>
      <c r="F12" s="3" t="s">
        <v>480</v>
      </c>
      <c r="G12" s="3" t="s">
        <v>449</v>
      </c>
      <c r="H12" s="5" t="s">
        <v>450</v>
      </c>
      <c r="I12" s="3" t="s">
        <v>451</v>
      </c>
    </row>
    <row r="13" customFormat="false" ht="15" hidden="false" customHeight="false" outlineLevel="0" collapsed="false">
      <c r="A13" s="2" t="s">
        <v>215</v>
      </c>
      <c r="B13" s="2" t="s">
        <v>481</v>
      </c>
      <c r="C13" s="3" t="s">
        <v>482</v>
      </c>
      <c r="D13" s="3" t="s">
        <v>208</v>
      </c>
      <c r="E13" s="3" t="s">
        <v>251</v>
      </c>
      <c r="F13" s="3" t="s">
        <v>483</v>
      </c>
      <c r="G13" s="3" t="s">
        <v>449</v>
      </c>
      <c r="H13" s="5" t="s">
        <v>450</v>
      </c>
      <c r="I13" s="3" t="s">
        <v>451</v>
      </c>
    </row>
    <row r="14" customFormat="false" ht="15" hidden="false" customHeight="false" outlineLevel="0" collapsed="false">
      <c r="A14" s="2" t="s">
        <v>77</v>
      </c>
      <c r="B14" s="2" t="s">
        <v>484</v>
      </c>
      <c r="C14" s="3" t="s">
        <v>485</v>
      </c>
      <c r="D14" s="3" t="s">
        <v>68</v>
      </c>
      <c r="E14" s="3" t="s">
        <v>290</v>
      </c>
      <c r="F14" s="3" t="s">
        <v>486</v>
      </c>
      <c r="G14" s="3" t="s">
        <v>449</v>
      </c>
      <c r="H14" s="5" t="s">
        <v>450</v>
      </c>
      <c r="I14" s="3" t="s">
        <v>451</v>
      </c>
    </row>
    <row r="15" customFormat="false" ht="15" hidden="false" customHeight="false" outlineLevel="0" collapsed="false">
      <c r="A15" s="2" t="s">
        <v>85</v>
      </c>
      <c r="B15" s="2" t="s">
        <v>487</v>
      </c>
      <c r="C15" s="3" t="s">
        <v>488</v>
      </c>
      <c r="D15" s="3" t="s">
        <v>78</v>
      </c>
      <c r="E15" s="3" t="s">
        <v>230</v>
      </c>
      <c r="F15" s="3" t="s">
        <v>489</v>
      </c>
      <c r="G15" s="3" t="s">
        <v>449</v>
      </c>
      <c r="H15" s="5" t="s">
        <v>450</v>
      </c>
      <c r="I15" s="3" t="s">
        <v>451</v>
      </c>
    </row>
    <row r="16" customFormat="false" ht="15" hidden="false" customHeight="false" outlineLevel="0" collapsed="false">
      <c r="A16" s="2" t="s">
        <v>171</v>
      </c>
      <c r="B16" s="2" t="s">
        <v>490</v>
      </c>
      <c r="C16" s="3" t="s">
        <v>491</v>
      </c>
      <c r="D16" s="3" t="s">
        <v>164</v>
      </c>
      <c r="E16" s="3" t="s">
        <v>290</v>
      </c>
      <c r="F16" s="3" t="s">
        <v>492</v>
      </c>
      <c r="G16" s="3" t="s">
        <v>449</v>
      </c>
      <c r="H16" s="5" t="s">
        <v>450</v>
      </c>
      <c r="I16" s="3" t="s">
        <v>451</v>
      </c>
    </row>
    <row r="17" customFormat="false" ht="15" hidden="false" customHeight="false" outlineLevel="0" collapsed="false">
      <c r="A17" s="2" t="s">
        <v>190</v>
      </c>
      <c r="B17" s="2" t="s">
        <v>493</v>
      </c>
      <c r="C17" s="3" t="s">
        <v>494</v>
      </c>
      <c r="D17" s="3" t="s">
        <v>183</v>
      </c>
      <c r="E17" s="3" t="s">
        <v>290</v>
      </c>
      <c r="F17" s="3" t="s">
        <v>495</v>
      </c>
      <c r="G17" s="3" t="s">
        <v>449</v>
      </c>
      <c r="H17" s="5" t="s">
        <v>450</v>
      </c>
      <c r="I17" s="3" t="s">
        <v>451</v>
      </c>
    </row>
    <row r="18" customFormat="false" ht="15" hidden="false" customHeight="false" outlineLevel="0" collapsed="false">
      <c r="A18" s="2" t="s">
        <v>56</v>
      </c>
      <c r="B18" s="2" t="s">
        <v>496</v>
      </c>
      <c r="C18" s="3" t="s">
        <v>497</v>
      </c>
      <c r="D18" s="3" t="s">
        <v>47</v>
      </c>
      <c r="E18" s="3" t="s">
        <v>290</v>
      </c>
      <c r="F18" s="3" t="s">
        <v>498</v>
      </c>
      <c r="G18" s="3" t="s">
        <v>449</v>
      </c>
      <c r="H18" s="5" t="s">
        <v>450</v>
      </c>
      <c r="I18" s="3" t="s">
        <v>451</v>
      </c>
    </row>
  </sheetData>
  <autoFilter ref="A1:I18"/>
  <dataValidations count="1">
    <dataValidation allowBlank="false" errorStyle="stop" operator="between" showDropDown="false" showErrorMessage="false" showInputMessage="false" sqref="H2:H18" type="list">
      <formula1>"Pending,Supplied"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70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1" t="s">
        <v>218</v>
      </c>
      <c r="B1" s="1" t="s">
        <v>499</v>
      </c>
      <c r="C1" s="1" t="s">
        <v>500</v>
      </c>
      <c r="D1" s="1" t="s">
        <v>20</v>
      </c>
    </row>
    <row r="2" customFormat="false" ht="35.05" hidden="false" customHeight="false" outlineLevel="0" collapsed="false">
      <c r="A2" s="3" t="s">
        <v>23</v>
      </c>
      <c r="B2" s="3" t="s">
        <v>286</v>
      </c>
      <c r="C2" s="3" t="s">
        <v>501</v>
      </c>
      <c r="D2" s="3" t="s">
        <v>502</v>
      </c>
    </row>
    <row r="3" customFormat="false" ht="23.85" hidden="false" customHeight="false" outlineLevel="0" collapsed="false">
      <c r="A3" s="3" t="s">
        <v>59</v>
      </c>
      <c r="B3" s="3" t="s">
        <v>503</v>
      </c>
      <c r="C3" s="3" t="s">
        <v>504</v>
      </c>
      <c r="D3" s="3" t="s">
        <v>505</v>
      </c>
    </row>
    <row r="4" customFormat="false" ht="23.85" hidden="false" customHeight="false" outlineLevel="0" collapsed="false">
      <c r="A4" s="3" t="s">
        <v>104</v>
      </c>
      <c r="B4" s="3" t="s">
        <v>506</v>
      </c>
      <c r="C4" s="3" t="s">
        <v>507</v>
      </c>
      <c r="D4" s="3" t="s">
        <v>508</v>
      </c>
    </row>
    <row r="5" customFormat="false" ht="23.85" hidden="false" customHeight="false" outlineLevel="0" collapsed="false">
      <c r="A5" s="3" t="s">
        <v>141</v>
      </c>
      <c r="B5" s="3" t="s">
        <v>509</v>
      </c>
      <c r="C5" s="3" t="s">
        <v>510</v>
      </c>
      <c r="D5" s="3" t="s">
        <v>511</v>
      </c>
    </row>
    <row r="6" customFormat="false" ht="23.85" hidden="false" customHeight="false" outlineLevel="0" collapsed="false">
      <c r="A6" s="3" t="s">
        <v>174</v>
      </c>
      <c r="B6" s="3" t="s">
        <v>290</v>
      </c>
      <c r="C6" s="3" t="s">
        <v>512</v>
      </c>
      <c r="D6" s="3" t="s">
        <v>513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0" t="s">
        <v>514</v>
      </c>
      <c r="B1" s="10" t="s">
        <v>515</v>
      </c>
    </row>
    <row r="2" customFormat="false" ht="15" hidden="false" customHeight="false" outlineLevel="0" collapsed="false">
      <c r="A2" s="7" t="s">
        <v>516</v>
      </c>
      <c r="B2" s="3" t="s">
        <v>517</v>
      </c>
    </row>
    <row r="3" customFormat="false" ht="23.85" hidden="false" customHeight="false" outlineLevel="0" collapsed="false">
      <c r="A3" s="7" t="s">
        <v>518</v>
      </c>
      <c r="B3" s="3" t="s">
        <v>519</v>
      </c>
    </row>
    <row r="4" customFormat="false" ht="15" hidden="false" customHeight="false" outlineLevel="0" collapsed="false">
      <c r="A4" s="7" t="s">
        <v>520</v>
      </c>
      <c r="B4" s="3" t="s">
        <v>521</v>
      </c>
    </row>
    <row r="5" customFormat="false" ht="15" hidden="false" customHeight="false" outlineLevel="0" collapsed="false">
      <c r="A5" s="7" t="s">
        <v>522</v>
      </c>
      <c r="B5" s="3" t="s">
        <v>523</v>
      </c>
    </row>
    <row r="6" customFormat="false" ht="15" hidden="false" customHeight="false" outlineLevel="0" collapsed="false">
      <c r="A6" s="7" t="s">
        <v>524</v>
      </c>
      <c r="B6" s="3" t="s">
        <v>525</v>
      </c>
    </row>
    <row r="7" customFormat="false" ht="23.85" hidden="false" customHeight="false" outlineLevel="0" collapsed="false">
      <c r="A7" s="7" t="s">
        <v>526</v>
      </c>
      <c r="B7" s="3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2026-10-29T21:37:48Z</dcterms:created>
  <dc:creator>openpyxl</dc:creator>
  <dc:description/>
  <dc:language>en-US</dc:language>
  <cp:lastModifiedBy/>
  <dcterms:modified xsi:type="dcterms:W3CDTF">2026-10-29T21:37:48Z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