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Execution" sheetId="2" state="visible" r:id="rId4"/>
    <sheet name="White Box" sheetId="3" state="visible" r:id="rId5"/>
    <sheet name="Summary" sheetId="4" state="visible" r:id="rId6"/>
    <sheet name="RTM" sheetId="5" state="visible" r:id="rId7"/>
  </sheets>
  <definedNames>
    <definedName function="false" hidden="false" localSheetId="1" name="_xlnm.Print_Titles" vbProcedure="false">Execution!$1:$1</definedName>
    <definedName function="false" hidden="true" localSheetId="1" name="_xlnm._FilterDatabase" vbProcedure="false">Execution!$A$1:$H$15</definedName>
    <definedName function="false" hidden="false" localSheetId="4" name="_xlnm.Print_Titles" vbProcedure="false">RTM!$1:$1</definedName>
    <definedName function="false" hidden="true" localSheetId="4" name="_xlnm._FilterDatabase" vbProcedure="false">RTM!$A$1:$D$15</definedName>
    <definedName function="false" hidden="true" localSheetId="3" name="_xlnm._FilterDatabase" vbProcedure="false">Summary!$A$1:$B$23</definedName>
    <definedName function="false" hidden="false" localSheetId="0" name="_xlnm.Print_Titles" vbProcedure="false">'Test Cases'!$1:$1</definedName>
    <definedName function="false" hidden="true" localSheetId="0" name="_xlnm._FilterDatabase" vbProcedure="false">'Test Cases'!$A$1:$N$15</definedName>
    <definedName function="false" hidden="false" localSheetId="2" name="_xlnm.Print_Titles" vbProcedure="false">'White Box'!$1:$1</definedName>
    <definedName function="false" hidden="true" localSheetId="2" name="_xlnm._FilterDatabase" vbProcedure="false">'White Box'!$A$1:$G$4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<sst xmlns="http://schemas.openxmlformats.org/spreadsheetml/2006/main" count="408" uniqueCount="265">
  <si>
    <t xml:space="preserve">Test Case ID</t>
  </si>
  <si>
    <t xml:space="preserve">Requirement ID</t>
  </si>
  <si>
    <t xml:space="preserve">Module</t>
  </si>
  <si>
    <t xml:space="preserve">Feature / Scenario</t>
  </si>
  <si>
    <t xml:space="preserve">Test Type</t>
  </si>
  <si>
    <t xml:space="preserve">Test Technique</t>
  </si>
  <si>
    <t xml:space="preserve">Priority</t>
  </si>
  <si>
    <t xml:space="preserve">Severity</t>
  </si>
  <si>
    <t xml:space="preserve">Preconditions</t>
  </si>
  <si>
    <t xml:space="preserve">Test Data / Action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</si>
  <si>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</si>
  <si>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</si>
  <si>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</si>
  <si>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</si>
  <si>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TC001</t>
  </si>
  <si>
    <t xml:space="preserve">REQ-GFG-HOME-01</t>
  </si>
  <si>
    <t xml:space="preserve">Homepage</t>
  </si>
  <si>
    <t xml:space="preserve">Homepage availability</t>
  </si>
  <si>
    <t xml:space="preserve">System</t>
  </si>
  <si>
    <t xml:space="preserve">Black-Box</t>
  </si>
  <si>
    <t xml:space="preserve">High</t>
  </si>
  <si>
    <t xml:space="preserve">Major</t>
  </si>
  <si>
    <t xml:space="preserve">Browser open; internet available</t>
  </si>
  <si>
    <t xml:space="preserve">Open https://www.geeksforgeeks.org/</t>
  </si>
  <si>
    <t xml:space="preserve">Homepage loads with title 'GeeksforGeeks | Your All-in-One Learning Portal'; header navigation and Explore/Courses sections are visible</t>
  </si>
  <si>
    <t xml:space="preserve">Not executed - to be recorded by tester</t>
  </si>
  <si>
    <t xml:space="preserve">NOT EXECUTED</t>
  </si>
  <si>
    <t xml:space="preserve">SS01 (Figure 1)</t>
  </si>
  <si>
    <t xml:space="preserve">TC002</t>
  </si>
  <si>
    <t xml:space="preserve">REQ-GFG-NAV-01</t>
  </si>
  <si>
    <t xml:space="preserve">Navigation</t>
  </si>
  <si>
    <t xml:space="preserve">Header navigation link</t>
  </si>
  <si>
    <t xml:space="preserve">Homepage displayed</t>
  </si>
  <si>
    <t xml:space="preserve">Click 'Python' in the header navigation</t>
  </si>
  <si>
    <t xml:space="preserve">Python tutorial page opens (/python/python-programming-language-tutorial/)</t>
  </si>
  <si>
    <t xml:space="preserve">SS02 (Figure 2)</t>
  </si>
  <si>
    <t xml:space="preserve">TC003</t>
  </si>
  <si>
    <t xml:space="preserve">REQ-GFG-SRCH-01</t>
  </si>
  <si>
    <t xml:space="preserve">Search</t>
  </si>
  <si>
    <t xml:space="preserve">Search with valid keyword</t>
  </si>
  <si>
    <t xml:space="preserve">Homepage displayed; search control accessible</t>
  </si>
  <si>
    <t xml:space="preserve">Open search; enter 'binary search'; submit</t>
  </si>
  <si>
    <t xml:space="preserve">Search results relevant to 'binary search' are displayed</t>
  </si>
  <si>
    <t xml:space="preserve">SS03 (Figure 3)</t>
  </si>
  <si>
    <t xml:space="preserve">TC004</t>
  </si>
  <si>
    <t xml:space="preserve">REQ-GFG-SRCH-02</t>
  </si>
  <si>
    <t xml:space="preserve">Search with no-match keyword</t>
  </si>
  <si>
    <t xml:space="preserve">Medium</t>
  </si>
  <si>
    <t xml:space="preserve">Minor</t>
  </si>
  <si>
    <t xml:space="preserve">Open search; enter 'zzqxv98765'; submit</t>
  </si>
  <si>
    <t xml:space="preserve">No-result / empty state is shown without an error page</t>
  </si>
  <si>
    <t xml:space="preserve">SS13 (Figure 13)</t>
  </si>
  <si>
    <t xml:space="preserve">TC005</t>
  </si>
  <si>
    <t xml:space="preserve">REQ-GFG-AUTH-01</t>
  </si>
  <si>
    <t xml:space="preserve">Sign In</t>
  </si>
  <si>
    <t xml:space="preserve">Invalid sign-in input validation</t>
  </si>
  <si>
    <t xml:space="preserve">Sign-in control accessible (to be confirmed)</t>
  </si>
  <si>
    <t xml:space="preserve">Open sign-in; submit empty fields or malformed e-mail 'abc@'; no CAPTCHA/access-control bypass</t>
  </si>
  <si>
    <t xml:space="preserve">Validation message displayed and sign-in is not allowed</t>
  </si>
  <si>
    <t xml:space="preserve">SS09, SS10 (Figures 9-10)</t>
  </si>
  <si>
    <t xml:space="preserve">TC006</t>
  </si>
  <si>
    <t xml:space="preserve">REQ-GFG-WB-01</t>
  </si>
  <si>
    <t xml:space="preserve">Illustrative Verdict Checker</t>
  </si>
  <si>
    <t xml:space="preserve">True branch / if-condition</t>
  </si>
  <si>
    <t xml:space="preserve">Unit</t>
  </si>
  <si>
    <t xml:space="preserve">White-Box</t>
  </si>
  <si>
    <t xml:space="preserve">Python installed; gfg_verdict_checker.py available</t>
  </si>
  <si>
    <t xml:space="preserve">expected=15; submitted=15</t>
  </si>
  <si>
    <t xml:space="preserve">Verdict: Accepted / Result: All test cases passed</t>
  </si>
  <si>
    <t xml:space="preserve">True branch executed; printed 'Verdict: Accepted' and 'Result: All test cases passed'</t>
  </si>
  <si>
    <t xml:space="preserve">PASS</t>
  </si>
  <si>
    <t xml:space="preserve">Console output (Section 13); SS12 (Figure 12) pending</t>
  </si>
  <si>
    <t xml:space="preserve">TC007</t>
  </si>
  <si>
    <t xml:space="preserve">REQ-GFG-WB-02</t>
  </si>
  <si>
    <t xml:space="preserve">False branch / else-condition</t>
  </si>
  <si>
    <t xml:space="preserve">expected=15; submitted=14</t>
  </si>
  <si>
    <t xml:space="preserve">Verdict: Wrong Answer / Result: Output does not match expected output</t>
  </si>
  <si>
    <t xml:space="preserve">Else branch executed; printed 'Verdict: Wrong Answer' and 'Result: Output does not match expected output'</t>
  </si>
  <si>
    <t xml:space="preserve">TC008</t>
  </si>
  <si>
    <t xml:space="preserve">REQ-GFG-WB-03</t>
  </si>
  <si>
    <t xml:space="preserve">Statement execution</t>
  </si>
  <si>
    <t xml:space="preserve">Python installed; coverage.py available</t>
  </si>
  <si>
    <t xml:space="preserve">Run both paths (15/15 and 15/14) under coverage.py</t>
  </si>
  <si>
    <t xml:space="preserve">All 7 executable statements and both branches execute across the two runs</t>
  </si>
  <si>
    <t xml:space="preserve">coverage.py: 7/7 statements, 2/2 branches (100%) for both runs combined; each single-path run gave 67% (true-only misses lines 12-13; false-only misses lines 9-10)</t>
  </si>
  <si>
    <t xml:space="preserve">TC009</t>
  </si>
  <si>
    <t xml:space="preserve">REQ-GFG-INT-01</t>
  </si>
  <si>
    <t xml:space="preserve">Homepage -&gt; Practice</t>
  </si>
  <si>
    <t xml:space="preserve">Module communication</t>
  </si>
  <si>
    <t xml:space="preserve">Integration</t>
  </si>
  <si>
    <t xml:space="preserve">Click 'Practice Problems' in header navigation (links to /explore)</t>
  </si>
  <si>
    <t xml:space="preserve">'Explore &amp; Practice' listing opens with problem list and Topic/Difficulty/Company/Sort controls</t>
  </si>
  <si>
    <t xml:space="preserve">SS05, SS11 (Figures 5, 11)</t>
  </si>
  <si>
    <t xml:space="preserve">TC010</t>
  </si>
  <si>
    <t xml:space="preserve">REQ-GFG-INT-02</t>
  </si>
  <si>
    <t xml:space="preserve">Practice -&gt; Problem Details</t>
  </si>
  <si>
    <t xml:space="preserve">Listing to problem details</t>
  </si>
  <si>
    <t xml:space="preserve">Practice listing displayed</t>
  </si>
  <si>
    <t xml:space="preserve">Select any problem from the list</t>
  </si>
  <si>
    <t xml:space="preserve">Problem details page opens showing the problem statement</t>
  </si>
  <si>
    <t xml:space="preserve">SS06, SS11 (Figures 6, 11)</t>
  </si>
  <si>
    <t xml:space="preserve">TC011</t>
  </si>
  <si>
    <t xml:space="preserve">REQ-GFG-SYS-01</t>
  </si>
  <si>
    <t xml:space="preserve">Tutorials</t>
  </si>
  <si>
    <t xml:space="preserve">Tutorial article display</t>
  </si>
  <si>
    <t xml:space="preserve">Python tutorial page reachable</t>
  </si>
  <si>
    <t xml:space="preserve">Open the Python tutorial page and scroll</t>
  </si>
  <si>
    <t xml:space="preserve">Article title, headings and body content are displayed</t>
  </si>
  <si>
    <t xml:space="preserve">SS04 (Figure 4)</t>
  </si>
  <si>
    <t xml:space="preserve">TC012</t>
  </si>
  <si>
    <t xml:space="preserve">REQ-GFG-SYS-02</t>
  </si>
  <si>
    <t xml:space="preserve">Practice Problems</t>
  </si>
  <si>
    <t xml:space="preserve">Filter problem listing</t>
  </si>
  <si>
    <t xml:space="preserve">Select Topic 'Arrays' and a Difficulty value</t>
  </si>
  <si>
    <t xml:space="preserve">Problem list updates to show matching problems only</t>
  </si>
  <si>
    <t xml:space="preserve">SS05 (Figure 5)</t>
  </si>
  <si>
    <t xml:space="preserve">TC013</t>
  </si>
  <si>
    <t xml:space="preserve">REQ-GFG-SYS-03</t>
  </si>
  <si>
    <t xml:space="preserve">Code Editor</t>
  </si>
  <si>
    <t xml:space="preserve">Code editor display</t>
  </si>
  <si>
    <t xml:space="preserve">Problem details page open; editor accessible without restriction</t>
  </si>
  <si>
    <t xml:space="preserve">Locate the code editor on the problem page</t>
  </si>
  <si>
    <t xml:space="preserve">Code editor area with language selection is displayed</t>
  </si>
  <si>
    <t xml:space="preserve">SS07 (Figure 7)</t>
  </si>
  <si>
    <t xml:space="preserve">TC014</t>
  </si>
  <si>
    <t xml:space="preserve">REQ-GFG-SYS-04</t>
  </si>
  <si>
    <t xml:space="preserve">Code Execution</t>
  </si>
  <si>
    <t xml:space="preserve">Run code and view result</t>
  </si>
  <si>
    <t xml:space="preserve">Code editor displayed</t>
  </si>
  <si>
    <t xml:space="preserve">Enter simple code; use Run only (no Submit if login is required)</t>
  </si>
  <si>
    <t xml:space="preserve">Execution result / output panel is displayed; if a login or other restriction prevents it, record BLOCKED</t>
  </si>
  <si>
    <t xml:space="preserve">SS08 (Figure 8)</t>
  </si>
  <si>
    <t xml:space="preserve">Step No.</t>
  </si>
  <si>
    <t xml:space="preserve">Test Step</t>
  </si>
  <si>
    <t xml:space="preserve">Input / Action</t>
  </si>
  <si>
    <t xml:space="preserve">Launch GeeksforGeeks homepage</t>
  </si>
  <si>
    <t xml:space="preserve">SS01</t>
  </si>
  <si>
    <t xml:space="preserve">Open Python tutorial via header navigation</t>
  </si>
  <si>
    <t xml:space="preserve">Click 'Python'</t>
  </si>
  <si>
    <t xml:space="preserve">Python tutorial page opens</t>
  </si>
  <si>
    <t xml:space="preserve">SS02</t>
  </si>
  <si>
    <t xml:space="preserve">Check tutorial article content</t>
  </si>
  <si>
    <t xml:space="preserve">Scroll the Python tutorial page</t>
  </si>
  <si>
    <t xml:space="preserve">Article content displayed</t>
  </si>
  <si>
    <t xml:space="preserve">SS04</t>
  </si>
  <si>
    <t xml:space="preserve">binary search</t>
  </si>
  <si>
    <t xml:space="preserve">Relevant results displayed</t>
  </si>
  <si>
    <t xml:space="preserve">SS03</t>
  </si>
  <si>
    <t xml:space="preserve">zzqxv98765</t>
  </si>
  <si>
    <t xml:space="preserve">No-result state, no error page</t>
  </si>
  <si>
    <t xml:space="preserve">SS13</t>
  </si>
  <si>
    <t xml:space="preserve">Submit invalid sign-in input</t>
  </si>
  <si>
    <t xml:space="preserve">Empty fields / 'abc@'</t>
  </si>
  <si>
    <t xml:space="preserve">Validation message displayed</t>
  </si>
  <si>
    <t xml:space="preserve">SS09, SS10</t>
  </si>
  <si>
    <t xml:space="preserve">Open Practice Problems from homepage</t>
  </si>
  <si>
    <t xml:space="preserve">Click 'Practice Problems'</t>
  </si>
  <si>
    <t xml:space="preserve">Practice listing opens</t>
  </si>
  <si>
    <t xml:space="preserve">SS05, SS11</t>
  </si>
  <si>
    <t xml:space="preserve">Filter the practice listing</t>
  </si>
  <si>
    <t xml:space="preserve">Topic 'Arrays' + Difficulty</t>
  </si>
  <si>
    <t xml:space="preserve">List updates</t>
  </si>
  <si>
    <t xml:space="preserve">SS05</t>
  </si>
  <si>
    <t xml:space="preserve">Open a problem from the listing</t>
  </si>
  <si>
    <t xml:space="preserve">Click any problem</t>
  </si>
  <si>
    <t xml:space="preserve">Problem details displayed</t>
  </si>
  <si>
    <t xml:space="preserve">SS06, SS11</t>
  </si>
  <si>
    <t xml:space="preserve">Locate code editor on problem page</t>
  </si>
  <si>
    <t xml:space="preserve">Problem details page</t>
  </si>
  <si>
    <t xml:space="preserve">SS07</t>
  </si>
  <si>
    <t xml:space="preserve">Run simple code in editor</t>
  </si>
  <si>
    <t xml:space="preserve">Sample code; click Run</t>
  </si>
  <si>
    <t xml:space="preserve">Result displayed or BLOCKED recorded</t>
  </si>
  <si>
    <t xml:space="preserve">SS08</t>
  </si>
  <si>
    <t xml:space="preserve">Run program - matching outputs</t>
  </si>
  <si>
    <t xml:space="preserve">15 / 15</t>
  </si>
  <si>
    <t xml:space="preserve">Verdict: Accepted</t>
  </si>
  <si>
    <t xml:space="preserve">Console output; SS12 pending</t>
  </si>
  <si>
    <t xml:space="preserve">Run program - differing outputs</t>
  </si>
  <si>
    <t xml:space="preserve">15 / 14</t>
  </si>
  <si>
    <t xml:space="preserve">Verdict: Wrong Answer</t>
  </si>
  <si>
    <t xml:space="preserve">Measure coverage over both runs</t>
  </si>
  <si>
    <t xml:space="preserve">15/15 then 15/14</t>
  </si>
  <si>
    <t xml:space="preserve">All statements and branches covered</t>
  </si>
  <si>
    <t xml:space="preserve">Condition / Statement</t>
  </si>
  <si>
    <t xml:space="preserve">Path</t>
  </si>
  <si>
    <t xml:space="preserve">Input</t>
  </si>
  <si>
    <t xml:space="preserve">Expected Output</t>
  </si>
  <si>
    <t xml:space="preserve">Observed</t>
  </si>
  <si>
    <t xml:space="preserve">if expected_output.strip() == submitted_output.strip()  (lines 8-10)</t>
  </si>
  <si>
    <t xml:space="preserve">True</t>
  </si>
  <si>
    <t xml:space="preserve">Verdict: Accepted; Result: All test cases passed</t>
  </si>
  <si>
    <t xml:space="preserve">True branch executed; lines 9-10 printed the expected messages</t>
  </si>
  <si>
    <t xml:space="preserve">else condition  (lines 11-13)</t>
  </si>
  <si>
    <t xml:space="preserve">False</t>
  </si>
  <si>
    <t xml:space="preserve">Verdict: Wrong Answer; Result: Output does not match expected output</t>
  </si>
  <si>
    <t xml:space="preserve">Else branch executed; lines 12-13 printed the expected messages</t>
  </si>
  <si>
    <t xml:space="preserve">Executable statements (lines 5, 6, 8, 9, 10, 12, 13)</t>
  </si>
  <si>
    <t xml:space="preserve">Both paths</t>
  </si>
  <si>
    <t xml:space="preserve">15/15 and 15/14</t>
  </si>
  <si>
    <t xml:space="preserve">7 of 7 statements and 2 of 2 branches execute</t>
  </si>
  <si>
    <t xml:space="preserve">coverage.py: 100% statements and branches combined (true-only run: 67%, lines 12-13 missed; false-only run: 67%, lines 9-10 missed)</t>
  </si>
  <si>
    <t xml:space="preserve">Note 1</t>
  </si>
  <si>
    <t xml:space="preserve">Program under test: gfg_verdict_checker.py - an ORIGINAL illustrative Python program written for this practical. It is NOT GeeksforGeeks production source code (GeeksforGeeks' internal code is not available for inspection).</t>
  </si>
  <si>
    <t xml:space="preserve">Note 2</t>
  </si>
  <si>
    <t xml:space="preserve">Observed results come from real runs of the program in Claude's Python 3.12.3 sandbox (inputs piped to the program) and a coverage.py run with branch measurement. The tester should re-run the program locally to capture SS12 (Figure 12).</t>
  </si>
  <si>
    <t xml:space="preserve">Note 3</t>
  </si>
  <si>
    <t xml:space="preserve">Coverage result: 7 executable statements, 2 branches. Both paths together = 100% statements and branches; each single-path run = 67% (true-only misses lines 12-13; false-only misses lines 9-10).</t>
  </si>
  <si>
    <t xml:space="preserve">Line</t>
  </si>
  <si>
    <t xml:space="preserve">Illustrative program: gfg_verdict_checker.py</t>
  </si>
  <si>
    <t xml:space="preserve"># Illustrative Verdict Checker for White-Box Testing</t>
  </si>
  <si>
    <t xml:space="preserve"># NOTE: Original practice code written for this practical.</t>
  </si>
  <si>
    <t xml:space="preserve">#       It is NOT GeeksforGeeks production source code.</t>
  </si>
  <si>
    <t xml:space="preserve">expected_output = input("Enter Expected Output: ")</t>
  </si>
  <si>
    <t xml:space="preserve">submitted_output = input("Enter Submitted Output: ")</t>
  </si>
  <si>
    <t xml:space="preserve">if expected_output.strip() == submitted_output.strip():</t>
  </si>
  <si>
    <t xml:space="preserve">    print("Verdict: Accepted")</t>
  </si>
  <si>
    <t xml:space="preserve">    print("Result: All test cases passed")</t>
  </si>
  <si>
    <t xml:space="preserve">else:</t>
  </si>
  <si>
    <t xml:space="preserve">    print("Verdict: Wrong Answer")</t>
  </si>
  <si>
    <t xml:space="preserve">    print("Result: Output does not match expected output")</t>
  </si>
  <si>
    <t xml:space="preserve">Metric</t>
  </si>
  <si>
    <t xml:space="preserve">Value</t>
  </si>
  <si>
    <t xml:space="preserve">Total Test Cases (unique)</t>
  </si>
  <si>
    <t xml:space="preserve">Black-Box Test Cases (by technique)</t>
  </si>
  <si>
    <t xml:space="preserve">White-Box Test Cases (by technique)</t>
  </si>
  <si>
    <t xml:space="preserve">Unit-level Test Cases (by level)</t>
  </si>
  <si>
    <t xml:space="preserve">Integration Test Cases (by level)</t>
  </si>
  <si>
    <t xml:space="preserve">System Test Cases (by level)</t>
  </si>
  <si>
    <t xml:space="preserve">Passed</t>
  </si>
  <si>
    <t xml:space="preserve">Failed</t>
  </si>
  <si>
    <t xml:space="preserve">Blocked</t>
  </si>
  <si>
    <t xml:space="preserve">Not Executed</t>
  </si>
  <si>
    <t xml:space="preserve">Executed (Passed + Failed)</t>
  </si>
  <si>
    <t xml:space="preserve">Execution Progress (Executed / Total)</t>
  </si>
  <si>
    <t xml:space="preserve">Overall Result</t>
  </si>
  <si>
    <t xml:space="preserve">Check: Black-Box + White-Box = Total</t>
  </si>
  <si>
    <t xml:space="preserve">Check: Unit + Integration + System = Total</t>
  </si>
  <si>
    <t xml:space="preserve">Check: Pass + Fail + Blocked + Not Executed = Total</t>
  </si>
  <si>
    <t xml:space="preserve">Requirements in RTM</t>
  </si>
  <si>
    <t xml:space="preserve">RTM requirements with no valid test case</t>
  </si>
  <si>
    <t xml:space="preserve">Test cases whose Requirement ID is missing from RTM</t>
  </si>
  <si>
    <t xml:space="preserve">Classification Note</t>
  </si>
  <si>
    <t xml:space="preserve">Black-Box/White-Box counts classify by technique; Unit/Integration/System counts classify by test level. The two groups overlap (e.g. TC009 is Integration level and Black-Box technique), so they are never added across groups. The unique total is the Total Test Cases value.</t>
  </si>
  <si>
    <t xml:space="preserve">Evidence Note</t>
  </si>
  <si>
    <t xml:space="preserve">Only the three White-Box tests (TC006-TC008) have been executed (real program runs). The 11 browser-based tests are planned and show NOT EXECUTED until the tester runs them and updates Status/Actual Result on the Test Cases sheet; Execution, RTM and Summary update automatically.</t>
  </si>
  <si>
    <t xml:space="preserve">Scope Note</t>
  </si>
  <si>
    <t xml:space="preserve">System testing covers the selected GeeksforGeeks modules listed in this workbook, not every feature of the production website. Live interactive inspection was not performed when this workbook was prepared.</t>
  </si>
  <si>
    <t xml:space="preserve">Requirement</t>
  </si>
  <si>
    <t xml:space="preserve">Test Case ID(s)</t>
  </si>
  <si>
    <t xml:space="preserve">Result</t>
  </si>
  <si>
    <t xml:space="preserve">Homepage should load and display main navigation and content sections</t>
  </si>
  <si>
    <t xml:space="preserve">Header navigation links should open the corresponding tutorial module</t>
  </si>
  <si>
    <t xml:space="preserve">Search should return relevant results for a valid keyword</t>
  </si>
  <si>
    <t xml:space="preserve">Search should handle a no-match keyword gracefully</t>
  </si>
  <si>
    <t xml:space="preserve">Sign-in should show validation for invalid or empty input</t>
  </si>
  <si>
    <t xml:space="preserve">True branch should execute when submitted output matches expected output</t>
  </si>
  <si>
    <t xml:space="preserve">Else branch should execute when submitted output differs</t>
  </si>
  <si>
    <t xml:space="preserve">Branch-specific statements should execute for each path</t>
  </si>
  <si>
    <t xml:space="preserve">Homepage navigation should open the Practice Problems module</t>
  </si>
  <si>
    <t xml:space="preserve">Selecting a problem from the listing should open its details page</t>
  </si>
  <si>
    <t xml:space="preserve">Tutorial article should display its content</t>
  </si>
  <si>
    <t xml:space="preserve">Practice filters should update the problem list</t>
  </si>
  <si>
    <t xml:space="preserve">Problem page should display a code editor</t>
  </si>
  <si>
    <t xml:space="preserve">Code editor should run code and show a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</si>
</sst>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Courier New"/>
      <family val="0"/>
      <charset val="1"/>
    </font>
    <font>
      <sz val="9"/>
      <name val="Courier Ne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9" min="9" style="0" width="28"/>
    <col collapsed="false" customWidth="true" hidden="false" outlineLevel="0" max="10" min="10" style="0" width="38"/>
    <col collapsed="false" customWidth="true" hidden="false" outlineLevel="0" max="11" min="11" style="0" width="42"/>
    <col collapsed="false" customWidth="true" hidden="false" outlineLevel="0" max="12" min="12" style="0" width="40"/>
    <col collapsed="false" customWidth="true" hidden="false" outlineLevel="0" max="13" min="13" style="0" width="16"/>
    <col collapsed="false" customWidth="true" hidden="false" outlineLevel="0" max="14" min="14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57.75" hidden="false" customHeight="true" outlineLevel="0" collapsed="false">
      <c r="A2" s="2" t="s">
        <v>14</v>
      </c>
      <c r="B2" s="3" t="s">
        <v>15</v>
      </c>
      <c r="C2" s="3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4" t="s">
        <v>26</v>
      </c>
      <c r="N2" s="3" t="s">
        <v>27</v>
      </c>
    </row>
    <row r="3" customFormat="false" ht="30.75" hidden="false" customHeight="true" outlineLevel="0" collapsed="false">
      <c r="A3" s="2" t="s">
        <v>28</v>
      </c>
      <c r="B3" s="3" t="s">
        <v>29</v>
      </c>
      <c r="C3" s="3" t="s">
        <v>30</v>
      </c>
      <c r="D3" s="3" t="s">
        <v>31</v>
      </c>
      <c r="E3" s="2" t="s">
        <v>18</v>
      </c>
      <c r="F3" s="2" t="s">
        <v>19</v>
      </c>
      <c r="G3" s="2" t="s">
        <v>20</v>
      </c>
      <c r="H3" s="2" t="s">
        <v>21</v>
      </c>
      <c r="I3" s="3" t="s">
        <v>32</v>
      </c>
      <c r="J3" s="3" t="s">
        <v>33</v>
      </c>
      <c r="K3" s="3" t="s">
        <v>34</v>
      </c>
      <c r="L3" s="3" t="s">
        <v>25</v>
      </c>
      <c r="M3" s="4" t="s">
        <v>26</v>
      </c>
      <c r="N3" s="3" t="s">
        <v>35</v>
      </c>
    </row>
    <row r="4" customFormat="false" ht="30.75" hidden="false" customHeight="true" outlineLevel="0" collapsed="false">
      <c r="A4" s="2" t="s">
        <v>36</v>
      </c>
      <c r="B4" s="3" t="s">
        <v>37</v>
      </c>
      <c r="C4" s="3" t="s">
        <v>38</v>
      </c>
      <c r="D4" s="3" t="s">
        <v>39</v>
      </c>
      <c r="E4" s="2" t="s">
        <v>18</v>
      </c>
      <c r="F4" s="2" t="s">
        <v>19</v>
      </c>
      <c r="G4" s="2" t="s">
        <v>20</v>
      </c>
      <c r="H4" s="2" t="s">
        <v>21</v>
      </c>
      <c r="I4" s="3" t="s">
        <v>40</v>
      </c>
      <c r="J4" s="3" t="s">
        <v>41</v>
      </c>
      <c r="K4" s="3" t="s">
        <v>42</v>
      </c>
      <c r="L4" s="3" t="s">
        <v>25</v>
      </c>
      <c r="M4" s="4" t="s">
        <v>26</v>
      </c>
      <c r="N4" s="3" t="s">
        <v>43</v>
      </c>
    </row>
    <row r="5" customFormat="false" ht="30.75" hidden="false" customHeight="true" outlineLevel="0" collapsed="false">
      <c r="A5" s="2" t="s">
        <v>44</v>
      </c>
      <c r="B5" s="3" t="s">
        <v>45</v>
      </c>
      <c r="C5" s="3" t="s">
        <v>38</v>
      </c>
      <c r="D5" s="3" t="s">
        <v>46</v>
      </c>
      <c r="E5" s="2" t="s">
        <v>18</v>
      </c>
      <c r="F5" s="2" t="s">
        <v>19</v>
      </c>
      <c r="G5" s="2" t="s">
        <v>47</v>
      </c>
      <c r="H5" s="2" t="s">
        <v>48</v>
      </c>
      <c r="I5" s="3" t="s">
        <v>40</v>
      </c>
      <c r="J5" s="3" t="s">
        <v>49</v>
      </c>
      <c r="K5" s="3" t="s">
        <v>50</v>
      </c>
      <c r="L5" s="3" t="s">
        <v>25</v>
      </c>
      <c r="M5" s="4" t="s">
        <v>26</v>
      </c>
      <c r="N5" s="3" t="s">
        <v>51</v>
      </c>
    </row>
    <row r="6" customFormat="false" ht="44.25" hidden="false" customHeight="true" outlineLevel="0" collapsed="false">
      <c r="A6" s="2" t="s">
        <v>52</v>
      </c>
      <c r="B6" s="3" t="s">
        <v>53</v>
      </c>
      <c r="C6" s="3" t="s">
        <v>54</v>
      </c>
      <c r="D6" s="3" t="s">
        <v>55</v>
      </c>
      <c r="E6" s="2" t="s">
        <v>18</v>
      </c>
      <c r="F6" s="2" t="s">
        <v>19</v>
      </c>
      <c r="G6" s="2" t="s">
        <v>20</v>
      </c>
      <c r="H6" s="2" t="s">
        <v>21</v>
      </c>
      <c r="I6" s="3" t="s">
        <v>56</v>
      </c>
      <c r="J6" s="3" t="s">
        <v>57</v>
      </c>
      <c r="K6" s="3" t="s">
        <v>58</v>
      </c>
      <c r="L6" s="3" t="s">
        <v>25</v>
      </c>
      <c r="M6" s="4" t="s">
        <v>26</v>
      </c>
      <c r="N6" s="3" t="s">
        <v>59</v>
      </c>
    </row>
    <row r="7" customFormat="false" ht="44.25" hidden="false" customHeight="true" outlineLevel="0" collapsed="false">
      <c r="A7" s="2" t="s">
        <v>60</v>
      </c>
      <c r="B7" s="3" t="s">
        <v>61</v>
      </c>
      <c r="C7" s="3" t="s">
        <v>62</v>
      </c>
      <c r="D7" s="3" t="s">
        <v>63</v>
      </c>
      <c r="E7" s="2" t="s">
        <v>64</v>
      </c>
      <c r="F7" s="2" t="s">
        <v>65</v>
      </c>
      <c r="G7" s="2" t="s">
        <v>20</v>
      </c>
      <c r="H7" s="2" t="s">
        <v>21</v>
      </c>
      <c r="I7" s="3" t="s">
        <v>66</v>
      </c>
      <c r="J7" s="3" t="s">
        <v>67</v>
      </c>
      <c r="K7" s="3" t="s">
        <v>68</v>
      </c>
      <c r="L7" s="3" t="s">
        <v>69</v>
      </c>
      <c r="M7" s="4" t="s">
        <v>70</v>
      </c>
      <c r="N7" s="3" t="s">
        <v>71</v>
      </c>
    </row>
    <row r="8" customFormat="false" ht="44.25" hidden="false" customHeight="true" outlineLevel="0" collapsed="false">
      <c r="A8" s="2" t="s">
        <v>72</v>
      </c>
      <c r="B8" s="3" t="s">
        <v>73</v>
      </c>
      <c r="C8" s="3" t="s">
        <v>62</v>
      </c>
      <c r="D8" s="3" t="s">
        <v>74</v>
      </c>
      <c r="E8" s="2" t="s">
        <v>64</v>
      </c>
      <c r="F8" s="2" t="s">
        <v>65</v>
      </c>
      <c r="G8" s="2" t="s">
        <v>20</v>
      </c>
      <c r="H8" s="2" t="s">
        <v>21</v>
      </c>
      <c r="I8" s="3" t="s">
        <v>66</v>
      </c>
      <c r="J8" s="3" t="s">
        <v>75</v>
      </c>
      <c r="K8" s="3" t="s">
        <v>76</v>
      </c>
      <c r="L8" s="3" t="s">
        <v>77</v>
      </c>
      <c r="M8" s="4" t="s">
        <v>70</v>
      </c>
      <c r="N8" s="3" t="s">
        <v>71</v>
      </c>
    </row>
    <row r="9" customFormat="false" ht="57.75" hidden="false" customHeight="true" outlineLevel="0" collapsed="false">
      <c r="A9" s="2" t="s">
        <v>78</v>
      </c>
      <c r="B9" s="3" t="s">
        <v>79</v>
      </c>
      <c r="C9" s="3" t="s">
        <v>62</v>
      </c>
      <c r="D9" s="3" t="s">
        <v>80</v>
      </c>
      <c r="E9" s="2" t="s">
        <v>64</v>
      </c>
      <c r="F9" s="2" t="s">
        <v>65</v>
      </c>
      <c r="G9" s="2" t="s">
        <v>47</v>
      </c>
      <c r="H9" s="2" t="s">
        <v>48</v>
      </c>
      <c r="I9" s="3" t="s">
        <v>81</v>
      </c>
      <c r="J9" s="3" t="s">
        <v>82</v>
      </c>
      <c r="K9" s="3" t="s">
        <v>83</v>
      </c>
      <c r="L9" s="3" t="s">
        <v>84</v>
      </c>
      <c r="M9" s="4" t="s">
        <v>70</v>
      </c>
      <c r="N9" s="3" t="s">
        <v>71</v>
      </c>
    </row>
    <row r="10" customFormat="false" ht="44.25" hidden="false" customHeight="true" outlineLevel="0" collapsed="false">
      <c r="A10" s="2" t="s">
        <v>85</v>
      </c>
      <c r="B10" s="3" t="s">
        <v>86</v>
      </c>
      <c r="C10" s="3" t="s">
        <v>87</v>
      </c>
      <c r="D10" s="3" t="s">
        <v>88</v>
      </c>
      <c r="E10" s="2" t="s">
        <v>89</v>
      </c>
      <c r="F10" s="2" t="s">
        <v>19</v>
      </c>
      <c r="G10" s="2" t="s">
        <v>20</v>
      </c>
      <c r="H10" s="2" t="s">
        <v>21</v>
      </c>
      <c r="I10" s="3" t="s">
        <v>32</v>
      </c>
      <c r="J10" s="3" t="s">
        <v>90</v>
      </c>
      <c r="K10" s="3" t="s">
        <v>91</v>
      </c>
      <c r="L10" s="3" t="s">
        <v>25</v>
      </c>
      <c r="M10" s="4" t="s">
        <v>26</v>
      </c>
      <c r="N10" s="3" t="s">
        <v>92</v>
      </c>
    </row>
    <row r="11" customFormat="false" ht="30.75" hidden="false" customHeight="true" outlineLevel="0" collapsed="false">
      <c r="A11" s="2" t="s">
        <v>93</v>
      </c>
      <c r="B11" s="3" t="s">
        <v>94</v>
      </c>
      <c r="C11" s="3" t="s">
        <v>95</v>
      </c>
      <c r="D11" s="3" t="s">
        <v>96</v>
      </c>
      <c r="E11" s="2" t="s">
        <v>89</v>
      </c>
      <c r="F11" s="2" t="s">
        <v>19</v>
      </c>
      <c r="G11" s="2" t="s">
        <v>20</v>
      </c>
      <c r="H11" s="2" t="s">
        <v>21</v>
      </c>
      <c r="I11" s="3" t="s">
        <v>97</v>
      </c>
      <c r="J11" s="3" t="s">
        <v>98</v>
      </c>
      <c r="K11" s="3" t="s">
        <v>99</v>
      </c>
      <c r="L11" s="3" t="s">
        <v>25</v>
      </c>
      <c r="M11" s="4" t="s">
        <v>26</v>
      </c>
      <c r="N11" s="3" t="s">
        <v>100</v>
      </c>
    </row>
    <row r="12" customFormat="false" ht="30.75" hidden="false" customHeight="true" outlineLevel="0" collapsed="false">
      <c r="A12" s="2" t="s">
        <v>101</v>
      </c>
      <c r="B12" s="3" t="s">
        <v>102</v>
      </c>
      <c r="C12" s="3" t="s">
        <v>103</v>
      </c>
      <c r="D12" s="3" t="s">
        <v>104</v>
      </c>
      <c r="E12" s="2" t="s">
        <v>18</v>
      </c>
      <c r="F12" s="2" t="s">
        <v>19</v>
      </c>
      <c r="G12" s="2" t="s">
        <v>20</v>
      </c>
      <c r="H12" s="2" t="s">
        <v>21</v>
      </c>
      <c r="I12" s="3" t="s">
        <v>105</v>
      </c>
      <c r="J12" s="3" t="s">
        <v>106</v>
      </c>
      <c r="K12" s="3" t="s">
        <v>107</v>
      </c>
      <c r="L12" s="3" t="s">
        <v>25</v>
      </c>
      <c r="M12" s="4" t="s">
        <v>26</v>
      </c>
      <c r="N12" s="3" t="s">
        <v>108</v>
      </c>
    </row>
    <row r="13" customFormat="false" ht="30.75" hidden="false" customHeight="true" outlineLevel="0" collapsed="false">
      <c r="A13" s="2" t="s">
        <v>109</v>
      </c>
      <c r="B13" s="3" t="s">
        <v>110</v>
      </c>
      <c r="C13" s="3" t="s">
        <v>111</v>
      </c>
      <c r="D13" s="3" t="s">
        <v>112</v>
      </c>
      <c r="E13" s="2" t="s">
        <v>18</v>
      </c>
      <c r="F13" s="2" t="s">
        <v>19</v>
      </c>
      <c r="G13" s="2" t="s">
        <v>47</v>
      </c>
      <c r="H13" s="2" t="s">
        <v>21</v>
      </c>
      <c r="I13" s="3" t="s">
        <v>97</v>
      </c>
      <c r="J13" s="3" t="s">
        <v>113</v>
      </c>
      <c r="K13" s="3" t="s">
        <v>114</v>
      </c>
      <c r="L13" s="3" t="s">
        <v>25</v>
      </c>
      <c r="M13" s="4" t="s">
        <v>26</v>
      </c>
      <c r="N13" s="3" t="s">
        <v>115</v>
      </c>
    </row>
    <row r="14" customFormat="false" ht="44.25" hidden="false" customHeight="true" outlineLevel="0" collapsed="false">
      <c r="A14" s="2" t="s">
        <v>116</v>
      </c>
      <c r="B14" s="3" t="s">
        <v>117</v>
      </c>
      <c r="C14" s="3" t="s">
        <v>118</v>
      </c>
      <c r="D14" s="3" t="s">
        <v>119</v>
      </c>
      <c r="E14" s="2" t="s">
        <v>18</v>
      </c>
      <c r="F14" s="2" t="s">
        <v>19</v>
      </c>
      <c r="G14" s="2" t="s">
        <v>47</v>
      </c>
      <c r="H14" s="2" t="s">
        <v>21</v>
      </c>
      <c r="I14" s="3" t="s">
        <v>120</v>
      </c>
      <c r="J14" s="3" t="s">
        <v>121</v>
      </c>
      <c r="K14" s="3" t="s">
        <v>122</v>
      </c>
      <c r="L14" s="3" t="s">
        <v>25</v>
      </c>
      <c r="M14" s="4" t="s">
        <v>26</v>
      </c>
      <c r="N14" s="3" t="s">
        <v>123</v>
      </c>
    </row>
    <row r="15" customFormat="false" ht="44.25" hidden="false" customHeight="true" outlineLevel="0" collapsed="false">
      <c r="A15" s="2" t="s">
        <v>124</v>
      </c>
      <c r="B15" s="3" t="s">
        <v>125</v>
      </c>
      <c r="C15" s="3" t="s">
        <v>126</v>
      </c>
      <c r="D15" s="3" t="s">
        <v>127</v>
      </c>
      <c r="E15" s="2" t="s">
        <v>18</v>
      </c>
      <c r="F15" s="2" t="s">
        <v>19</v>
      </c>
      <c r="G15" s="2" t="s">
        <v>47</v>
      </c>
      <c r="H15" s="2" t="s">
        <v>21</v>
      </c>
      <c r="I15" s="3" t="s">
        <v>128</v>
      </c>
      <c r="J15" s="3" t="s">
        <v>129</v>
      </c>
      <c r="K15" s="3" t="s">
        <v>130</v>
      </c>
      <c r="L15" s="3" t="s">
        <v>25</v>
      </c>
      <c r="M15" s="4" t="s">
        <v>26</v>
      </c>
      <c r="N15" s="3" t="s">
        <v>131</v>
      </c>
    </row>
  </sheetData>
  <autoFilter ref="A1:N15"/>
  <conditionalFormatting sqref="M2:M15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EXECUTED"</formula>
    </cfRule>
  </conditionalFormatting>
  <dataValidations count="1">
    <dataValidation allowBlank="false" error="Use PASS, FAIL, BLOCKED or NOT EXECUTED" errorStyle="stop" errorTitle="Invalid status" operator="between" showDropDown="false" showErrorMessage="true" showInputMessage="false" sqref="M2:M15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132</v>
      </c>
      <c r="B1" s="1" t="s">
        <v>0</v>
      </c>
      <c r="C1" s="1" t="s">
        <v>133</v>
      </c>
      <c r="D1" s="1" t="s">
        <v>134</v>
      </c>
      <c r="E1" s="1" t="s">
        <v>10</v>
      </c>
      <c r="F1" s="1" t="s">
        <v>11</v>
      </c>
      <c r="G1" s="1" t="s">
        <v>12</v>
      </c>
      <c r="H1" s="1" t="s">
        <v>13</v>
      </c>
    </row>
    <row r="2" customFormat="false" ht="30.75" hidden="false" customHeight="true" outlineLevel="0" collapsed="false">
      <c r="A2" s="2" t="n">
        <v>1</v>
      </c>
      <c r="B2" s="2" t="s">
        <v>14</v>
      </c>
      <c r="C2" s="3" t="s">
        <v>135</v>
      </c>
      <c r="D2" s="3" t="s">
        <v>23</v>
      </c>
      <c r="E2" s="3" t="s">
        <v>32</v>
      </c>
      <c r="F2" s="3" t="str">
        <f aca="false">INDEX('Test Cases'!$L$2:$L$15,MATCH(B2,'Test Cases'!$A$2:$A$15,0))</f>
        <v>Not executed - to be recorded by tester</v>
      </c>
      <c r="G2" s="4" t="str">
        <f aca="false">INDEX('Test Cases'!$M$2:$M$15,MATCH(B2,'Test Cases'!$A$2:$A$15,0))</f>
        <v>NOT EXECUTED</v>
      </c>
      <c r="H2" s="3" t="s">
        <v>136</v>
      </c>
    </row>
    <row r="3" customFormat="false" ht="30.75" hidden="false" customHeight="true" outlineLevel="0" collapsed="false">
      <c r="A3" s="2" t="n">
        <v>2</v>
      </c>
      <c r="B3" s="2" t="s">
        <v>28</v>
      </c>
      <c r="C3" s="3" t="s">
        <v>137</v>
      </c>
      <c r="D3" s="3" t="s">
        <v>138</v>
      </c>
      <c r="E3" s="3" t="s">
        <v>139</v>
      </c>
      <c r="F3" s="3" t="str">
        <f aca="false">INDEX('Test Cases'!$L$2:$L$15,MATCH(B3,'Test Cases'!$A$2:$A$15,0))</f>
        <v>Not executed - to be recorded by tester</v>
      </c>
      <c r="G3" s="4" t="str">
        <f aca="false">INDEX('Test Cases'!$M$2:$M$15,MATCH(B3,'Test Cases'!$A$2:$A$15,0))</f>
        <v>NOT EXECUTED</v>
      </c>
      <c r="H3" s="3" t="s">
        <v>140</v>
      </c>
    </row>
    <row r="4" customFormat="false" ht="30.75" hidden="false" customHeight="true" outlineLevel="0" collapsed="false">
      <c r="A4" s="2" t="n">
        <v>3</v>
      </c>
      <c r="B4" s="2" t="s">
        <v>101</v>
      </c>
      <c r="C4" s="3" t="s">
        <v>141</v>
      </c>
      <c r="D4" s="3" t="s">
        <v>142</v>
      </c>
      <c r="E4" s="3" t="s">
        <v>143</v>
      </c>
      <c r="F4" s="3" t="str">
        <f aca="false">INDEX('Test Cases'!$L$2:$L$15,MATCH(B4,'Test Cases'!$A$2:$A$15,0))</f>
        <v>Not executed - to be recorded by tester</v>
      </c>
      <c r="G4" s="4" t="str">
        <f aca="false">INDEX('Test Cases'!$M$2:$M$15,MATCH(B4,'Test Cases'!$A$2:$A$15,0))</f>
        <v>NOT EXECUTED</v>
      </c>
      <c r="H4" s="3" t="s">
        <v>144</v>
      </c>
    </row>
    <row r="5" customFormat="false" ht="19.5" hidden="false" customHeight="true" outlineLevel="0" collapsed="false">
      <c r="A5" s="2" t="n">
        <v>4</v>
      </c>
      <c r="B5" s="2" t="s">
        <v>36</v>
      </c>
      <c r="C5" s="3" t="s">
        <v>39</v>
      </c>
      <c r="D5" s="3" t="s">
        <v>145</v>
      </c>
      <c r="E5" s="3" t="s">
        <v>146</v>
      </c>
      <c r="F5" s="3" t="str">
        <f aca="false">INDEX('Test Cases'!$L$2:$L$15,MATCH(B5,'Test Cases'!$A$2:$A$15,0))</f>
        <v>Not executed - to be recorded by tester</v>
      </c>
      <c r="G5" s="4" t="str">
        <f aca="false">INDEX('Test Cases'!$M$2:$M$15,MATCH(B5,'Test Cases'!$A$2:$A$15,0))</f>
        <v>NOT EXECUTED</v>
      </c>
      <c r="H5" s="3" t="s">
        <v>147</v>
      </c>
    </row>
    <row r="6" customFormat="false" ht="19.5" hidden="false" customHeight="true" outlineLevel="0" collapsed="false">
      <c r="A6" s="2" t="n">
        <v>5</v>
      </c>
      <c r="B6" s="2" t="s">
        <v>44</v>
      </c>
      <c r="C6" s="3" t="s">
        <v>46</v>
      </c>
      <c r="D6" s="3" t="s">
        <v>148</v>
      </c>
      <c r="E6" s="3" t="s">
        <v>149</v>
      </c>
      <c r="F6" s="3" t="str">
        <f aca="false">INDEX('Test Cases'!$L$2:$L$15,MATCH(B6,'Test Cases'!$A$2:$A$15,0))</f>
        <v>Not executed - to be recorded by tester</v>
      </c>
      <c r="G6" s="4" t="str">
        <f aca="false">INDEX('Test Cases'!$M$2:$M$15,MATCH(B6,'Test Cases'!$A$2:$A$15,0))</f>
        <v>NOT EXECUTED</v>
      </c>
      <c r="H6" s="3" t="s">
        <v>150</v>
      </c>
    </row>
    <row r="7" customFormat="false" ht="19.5" hidden="false" customHeight="true" outlineLevel="0" collapsed="false">
      <c r="A7" s="2" t="n">
        <v>6</v>
      </c>
      <c r="B7" s="2" t="s">
        <v>52</v>
      </c>
      <c r="C7" s="3" t="s">
        <v>151</v>
      </c>
      <c r="D7" s="3" t="s">
        <v>152</v>
      </c>
      <c r="E7" s="3" t="s">
        <v>153</v>
      </c>
      <c r="F7" s="3" t="str">
        <f aca="false">INDEX('Test Cases'!$L$2:$L$15,MATCH(B7,'Test Cases'!$A$2:$A$15,0))</f>
        <v>Not executed - to be recorded by tester</v>
      </c>
      <c r="G7" s="4" t="str">
        <f aca="false">INDEX('Test Cases'!$M$2:$M$15,MATCH(B7,'Test Cases'!$A$2:$A$15,0))</f>
        <v>NOT EXECUTED</v>
      </c>
      <c r="H7" s="3" t="s">
        <v>154</v>
      </c>
    </row>
    <row r="8" customFormat="false" ht="30.75" hidden="false" customHeight="true" outlineLevel="0" collapsed="false">
      <c r="A8" s="2" t="n">
        <v>7</v>
      </c>
      <c r="B8" s="2" t="s">
        <v>85</v>
      </c>
      <c r="C8" s="3" t="s">
        <v>155</v>
      </c>
      <c r="D8" s="3" t="s">
        <v>156</v>
      </c>
      <c r="E8" s="3" t="s">
        <v>157</v>
      </c>
      <c r="F8" s="3" t="str">
        <f aca="false">INDEX('Test Cases'!$L$2:$L$15,MATCH(B8,'Test Cases'!$A$2:$A$15,0))</f>
        <v>Not executed - to be recorded by tester</v>
      </c>
      <c r="G8" s="4" t="str">
        <f aca="false">INDEX('Test Cases'!$M$2:$M$15,MATCH(B8,'Test Cases'!$A$2:$A$15,0))</f>
        <v>NOT EXECUTED</v>
      </c>
      <c r="H8" s="3" t="s">
        <v>158</v>
      </c>
    </row>
    <row r="9" customFormat="false" ht="19.5" hidden="false" customHeight="true" outlineLevel="0" collapsed="false">
      <c r="A9" s="2" t="n">
        <v>8</v>
      </c>
      <c r="B9" s="2" t="s">
        <v>109</v>
      </c>
      <c r="C9" s="3" t="s">
        <v>159</v>
      </c>
      <c r="D9" s="3" t="s">
        <v>160</v>
      </c>
      <c r="E9" s="3" t="s">
        <v>161</v>
      </c>
      <c r="F9" s="3" t="str">
        <f aca="false">INDEX('Test Cases'!$L$2:$L$15,MATCH(B9,'Test Cases'!$A$2:$A$15,0))</f>
        <v>Not executed - to be recorded by tester</v>
      </c>
      <c r="G9" s="4" t="str">
        <f aca="false">INDEX('Test Cases'!$M$2:$M$15,MATCH(B9,'Test Cases'!$A$2:$A$15,0))</f>
        <v>NOT EXECUTED</v>
      </c>
      <c r="H9" s="3" t="s">
        <v>162</v>
      </c>
    </row>
    <row r="10" customFormat="false" ht="19.5" hidden="false" customHeight="true" outlineLevel="0" collapsed="false">
      <c r="A10" s="2" t="n">
        <v>9</v>
      </c>
      <c r="B10" s="2" t="s">
        <v>93</v>
      </c>
      <c r="C10" s="3" t="s">
        <v>163</v>
      </c>
      <c r="D10" s="3" t="s">
        <v>164</v>
      </c>
      <c r="E10" s="3" t="s">
        <v>165</v>
      </c>
      <c r="F10" s="3" t="str">
        <f aca="false">INDEX('Test Cases'!$L$2:$L$15,MATCH(B10,'Test Cases'!$A$2:$A$15,0))</f>
        <v>Not executed - to be recorded by tester</v>
      </c>
      <c r="G10" s="4" t="str">
        <f aca="false">INDEX('Test Cases'!$M$2:$M$15,MATCH(B10,'Test Cases'!$A$2:$A$15,0))</f>
        <v>NOT EXECUTED</v>
      </c>
      <c r="H10" s="3" t="s">
        <v>166</v>
      </c>
    </row>
    <row r="11" customFormat="false" ht="19.5" hidden="false" customHeight="true" outlineLevel="0" collapsed="false">
      <c r="A11" s="2" t="n">
        <v>10</v>
      </c>
      <c r="B11" s="2" t="s">
        <v>116</v>
      </c>
      <c r="C11" s="3" t="s">
        <v>167</v>
      </c>
      <c r="D11" s="3" t="s">
        <v>168</v>
      </c>
      <c r="E11" s="3" t="s">
        <v>128</v>
      </c>
      <c r="F11" s="3" t="str">
        <f aca="false">INDEX('Test Cases'!$L$2:$L$15,MATCH(B11,'Test Cases'!$A$2:$A$15,0))</f>
        <v>Not executed - to be recorded by tester</v>
      </c>
      <c r="G11" s="4" t="str">
        <f aca="false">INDEX('Test Cases'!$M$2:$M$15,MATCH(B11,'Test Cases'!$A$2:$A$15,0))</f>
        <v>NOT EXECUTED</v>
      </c>
      <c r="H11" s="3" t="s">
        <v>169</v>
      </c>
    </row>
    <row r="12" customFormat="false" ht="30.75" hidden="false" customHeight="true" outlineLevel="0" collapsed="false">
      <c r="A12" s="2" t="n">
        <v>11</v>
      </c>
      <c r="B12" s="2" t="s">
        <v>124</v>
      </c>
      <c r="C12" s="3" t="s">
        <v>170</v>
      </c>
      <c r="D12" s="3" t="s">
        <v>171</v>
      </c>
      <c r="E12" s="3" t="s">
        <v>172</v>
      </c>
      <c r="F12" s="3" t="str">
        <f aca="false">INDEX('Test Cases'!$L$2:$L$15,MATCH(B12,'Test Cases'!$A$2:$A$15,0))</f>
        <v>Not executed - to be recorded by tester</v>
      </c>
      <c r="G12" s="4" t="str">
        <f aca="false">INDEX('Test Cases'!$M$2:$M$15,MATCH(B12,'Test Cases'!$A$2:$A$15,0))</f>
        <v>NOT EXECUTED</v>
      </c>
      <c r="H12" s="3" t="s">
        <v>173</v>
      </c>
    </row>
    <row r="13" customFormat="false" ht="30.75" hidden="false" customHeight="true" outlineLevel="0" collapsed="false">
      <c r="A13" s="2" t="n">
        <v>12</v>
      </c>
      <c r="B13" s="2" t="s">
        <v>60</v>
      </c>
      <c r="C13" s="3" t="s">
        <v>174</v>
      </c>
      <c r="D13" s="3" t="s">
        <v>175</v>
      </c>
      <c r="E13" s="3" t="s">
        <v>176</v>
      </c>
      <c r="F13" s="3" t="str">
        <f aca="false">INDEX('Test Cases'!$L$2:$L$15,MATCH(B13,'Test Cases'!$A$2:$A$15,0))</f>
        <v>True branch executed; printed 'Verdict: Accepted' and 'Result: All test cases passed'</v>
      </c>
      <c r="G13" s="4" t="str">
        <f aca="false">INDEX('Test Cases'!$M$2:$M$15,MATCH(B13,'Test Cases'!$A$2:$A$15,0))</f>
        <v>PASS</v>
      </c>
      <c r="H13" s="3" t="s">
        <v>177</v>
      </c>
    </row>
    <row r="14" customFormat="false" ht="44.25" hidden="false" customHeight="true" outlineLevel="0" collapsed="false">
      <c r="A14" s="2" t="n">
        <v>13</v>
      </c>
      <c r="B14" s="2" t="s">
        <v>72</v>
      </c>
      <c r="C14" s="3" t="s">
        <v>178</v>
      </c>
      <c r="D14" s="3" t="s">
        <v>179</v>
      </c>
      <c r="E14" s="3" t="s">
        <v>180</v>
      </c>
      <c r="F14" s="3" t="str">
        <f aca="false">INDEX('Test Cases'!$L$2:$L$15,MATCH(B14,'Test Cases'!$A$2:$A$15,0))</f>
        <v>Else branch executed; printed 'Verdict: Wrong Answer' and 'Result: Output does not match expected output'</v>
      </c>
      <c r="G14" s="4" t="str">
        <f aca="false">INDEX('Test Cases'!$M$2:$M$15,MATCH(B14,'Test Cases'!$A$2:$A$15,0))</f>
        <v>PASS</v>
      </c>
      <c r="H14" s="3" t="s">
        <v>177</v>
      </c>
    </row>
    <row r="15" customFormat="false" ht="57.75" hidden="false" customHeight="true" outlineLevel="0" collapsed="false">
      <c r="A15" s="2" t="n">
        <v>14</v>
      </c>
      <c r="B15" s="2" t="s">
        <v>78</v>
      </c>
      <c r="C15" s="3" t="s">
        <v>181</v>
      </c>
      <c r="D15" s="3" t="s">
        <v>182</v>
      </c>
      <c r="E15" s="3" t="s">
        <v>183</v>
      </c>
      <c r="F15" s="3" t="str">
        <f aca="false">INDEX('Test Cases'!$L$2:$L$15,MATCH(B15,'Test Cases'!$A$2:$A$15,0))</f>
        <v>coverage.py: 7/7 statements, 2/2 branches (100%) for both runs combined; each single-path run gave 67% (true-only misses lines 12-13; false-only misses lines 9-10)</v>
      </c>
      <c r="G15" s="4" t="str">
        <f aca="false">INDEX('Test Cases'!$M$2:$M$15,MATCH(B15,'Test Cases'!$A$2:$A$15,0))</f>
        <v>PASS</v>
      </c>
      <c r="H15" s="3" t="s">
        <v>177</v>
      </c>
    </row>
  </sheetData>
  <autoFilter ref="A1:H15"/>
  <conditionalFormatting sqref="G2:G15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12</v>
      </c>
    </row>
    <row r="2" customFormat="false" ht="30.75" hidden="false" customHeight="true" outlineLevel="0" collapsed="false">
      <c r="A2" s="2" t="s">
        <v>60</v>
      </c>
      <c r="B2" s="3" t="s">
        <v>189</v>
      </c>
      <c r="C2" s="2" t="s">
        <v>190</v>
      </c>
      <c r="D2" s="3" t="s">
        <v>175</v>
      </c>
      <c r="E2" s="3" t="s">
        <v>191</v>
      </c>
      <c r="F2" s="3" t="s">
        <v>192</v>
      </c>
      <c r="G2" s="4" t="s">
        <v>70</v>
      </c>
    </row>
    <row r="3" customFormat="false" ht="30.75" hidden="false" customHeight="true" outlineLevel="0" collapsed="false">
      <c r="A3" s="2" t="s">
        <v>72</v>
      </c>
      <c r="B3" s="3" t="s">
        <v>193</v>
      </c>
      <c r="C3" s="2" t="s">
        <v>194</v>
      </c>
      <c r="D3" s="3" t="s">
        <v>179</v>
      </c>
      <c r="E3" s="3" t="s">
        <v>195</v>
      </c>
      <c r="F3" s="3" t="s">
        <v>196</v>
      </c>
      <c r="G3" s="4" t="s">
        <v>70</v>
      </c>
    </row>
    <row r="4" customFormat="false" ht="44.25" hidden="false" customHeight="true" outlineLevel="0" collapsed="false">
      <c r="A4" s="2" t="s">
        <v>78</v>
      </c>
      <c r="B4" s="3" t="s">
        <v>197</v>
      </c>
      <c r="C4" s="2" t="s">
        <v>198</v>
      </c>
      <c r="D4" s="3" t="s">
        <v>199</v>
      </c>
      <c r="E4" s="3" t="s">
        <v>200</v>
      </c>
      <c r="F4" s="3" t="s">
        <v>201</v>
      </c>
      <c r="G4" s="4" t="s">
        <v>70</v>
      </c>
    </row>
    <row r="6" customFormat="false" ht="71.25" hidden="false" customHeight="true" outlineLevel="0" collapsed="false">
      <c r="A6" s="5" t="s">
        <v>202</v>
      </c>
      <c r="B6" s="6" t="s">
        <v>203</v>
      </c>
    </row>
    <row r="7" customFormat="false" ht="71.25" hidden="false" customHeight="true" outlineLevel="0" collapsed="false">
      <c r="A7" s="5" t="s">
        <v>204</v>
      </c>
      <c r="B7" s="6" t="s">
        <v>205</v>
      </c>
    </row>
    <row r="8" customFormat="false" ht="71.25" hidden="false" customHeight="true" outlineLevel="0" collapsed="false">
      <c r="A8" s="5" t="s">
        <v>206</v>
      </c>
      <c r="B8" s="6" t="s">
        <v>207</v>
      </c>
    </row>
    <row r="10" customFormat="false" ht="15" hidden="false" customHeight="false" outlineLevel="0" collapsed="false">
      <c r="A10" s="7" t="s">
        <v>208</v>
      </c>
      <c r="B10" s="8" t="s">
        <v>209</v>
      </c>
    </row>
    <row r="11" customFormat="false" ht="15" hidden="false" customHeight="false" outlineLevel="0" collapsed="false">
      <c r="A11" s="9" t="n">
        <v>1</v>
      </c>
      <c r="B11" s="10" t="s">
        <v>210</v>
      </c>
    </row>
    <row r="12" customFormat="false" ht="15" hidden="false" customHeight="false" outlineLevel="0" collapsed="false">
      <c r="A12" s="9" t="n">
        <v>2</v>
      </c>
      <c r="B12" s="10" t="s">
        <v>211</v>
      </c>
    </row>
    <row r="13" customFormat="false" ht="15" hidden="false" customHeight="false" outlineLevel="0" collapsed="false">
      <c r="A13" s="9" t="n">
        <v>3</v>
      </c>
      <c r="B13" s="10" t="s">
        <v>212</v>
      </c>
    </row>
    <row r="14" customFormat="false" ht="15" hidden="false" customHeight="false" outlineLevel="0" collapsed="false">
      <c r="A14" s="9" t="n">
        <v>4</v>
      </c>
      <c r="B14" s="10"/>
    </row>
    <row r="15" customFormat="false" ht="15" hidden="false" customHeight="false" outlineLevel="0" collapsed="false">
      <c r="A15" s="9" t="n">
        <v>5</v>
      </c>
      <c r="B15" s="10" t="s">
        <v>213</v>
      </c>
    </row>
    <row r="16" customFormat="false" ht="15" hidden="false" customHeight="false" outlineLevel="0" collapsed="false">
      <c r="A16" s="9" t="n">
        <v>6</v>
      </c>
      <c r="B16" s="10" t="s">
        <v>214</v>
      </c>
    </row>
    <row r="17" customFormat="false" ht="15" hidden="false" customHeight="false" outlineLevel="0" collapsed="false">
      <c r="A17" s="9" t="n">
        <v>7</v>
      </c>
      <c r="B17" s="10"/>
    </row>
    <row r="18" customFormat="false" ht="15" hidden="false" customHeight="false" outlineLevel="0" collapsed="false">
      <c r="A18" s="9" t="n">
        <v>8</v>
      </c>
      <c r="B18" s="10" t="s">
        <v>215</v>
      </c>
    </row>
    <row r="19" customFormat="false" ht="15" hidden="false" customHeight="false" outlineLevel="0" collapsed="false">
      <c r="A19" s="9" t="n">
        <v>9</v>
      </c>
      <c r="B19" s="10" t="s">
        <v>216</v>
      </c>
    </row>
    <row r="20" customFormat="false" ht="15" hidden="false" customHeight="false" outlineLevel="0" collapsed="false">
      <c r="A20" s="9" t="n">
        <v>10</v>
      </c>
      <c r="B20" s="10" t="s">
        <v>217</v>
      </c>
    </row>
    <row r="21" customFormat="false" ht="15" hidden="false" customHeight="false" outlineLevel="0" collapsed="false">
      <c r="A21" s="9" t="n">
        <v>11</v>
      </c>
      <c r="B21" s="10" t="s">
        <v>218</v>
      </c>
    </row>
    <row r="22" customFormat="false" ht="15" hidden="false" customHeight="false" outlineLevel="0" collapsed="false">
      <c r="A22" s="9" t="n">
        <v>12</v>
      </c>
      <c r="B22" s="10" t="s">
        <v>219</v>
      </c>
    </row>
    <row r="23" customFormat="false" ht="15" hidden="false" customHeight="false" outlineLevel="0" collapsed="false">
      <c r="A23" s="9" t="n">
        <v>13</v>
      </c>
      <c r="B23" s="10" t="s">
        <v>220</v>
      </c>
    </row>
  </sheetData>
  <autoFilter ref="A1:G4"/>
  <conditionalFormatting sqref="G2:G4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1" t="s">
        <v>221</v>
      </c>
      <c r="B1" s="11" t="s">
        <v>222</v>
      </c>
    </row>
    <row r="2" customFormat="false" ht="19.5" hidden="false" customHeight="true" outlineLevel="0" collapsed="false">
      <c r="A2" s="12" t="s">
        <v>223</v>
      </c>
      <c r="B2" s="3" t="n">
        <f aca="false">COUNTA('Test Cases'!$A$2:$A$15)</f>
        <v>14</v>
      </c>
    </row>
    <row r="3" customFormat="false" ht="19.5" hidden="false" customHeight="true" outlineLevel="0" collapsed="false">
      <c r="A3" s="12" t="s">
        <v>224</v>
      </c>
      <c r="B3" s="3" t="n">
        <f aca="false">COUNTIF('Test Cases'!$F$2:$F$15,"Black-Box")</f>
        <v>11</v>
      </c>
    </row>
    <row r="4" customFormat="false" ht="19.5" hidden="false" customHeight="true" outlineLevel="0" collapsed="false">
      <c r="A4" s="12" t="s">
        <v>225</v>
      </c>
      <c r="B4" s="3" t="n">
        <f aca="false">COUNTIF('Test Cases'!$F$2:$F$15,"White-Box")</f>
        <v>3</v>
      </c>
    </row>
    <row r="5" customFormat="false" ht="19.5" hidden="false" customHeight="true" outlineLevel="0" collapsed="false">
      <c r="A5" s="12" t="s">
        <v>226</v>
      </c>
      <c r="B5" s="3" t="n">
        <f aca="false">COUNTIF('Test Cases'!$E$2:$E$15,"Unit")</f>
        <v>3</v>
      </c>
    </row>
    <row r="6" customFormat="false" ht="19.5" hidden="false" customHeight="true" outlineLevel="0" collapsed="false">
      <c r="A6" s="12" t="s">
        <v>227</v>
      </c>
      <c r="B6" s="3" t="n">
        <f aca="false">COUNTIF('Test Cases'!$E$2:$E$15,"Integration")</f>
        <v>2</v>
      </c>
    </row>
    <row r="7" customFormat="false" ht="19.5" hidden="false" customHeight="true" outlineLevel="0" collapsed="false">
      <c r="A7" s="12" t="s">
        <v>228</v>
      </c>
      <c r="B7" s="3" t="n">
        <f aca="false">COUNTIF('Test Cases'!$E$2:$E$15,"System")</f>
        <v>9</v>
      </c>
    </row>
    <row r="8" customFormat="false" ht="19.5" hidden="false" customHeight="true" outlineLevel="0" collapsed="false">
      <c r="A8" s="12" t="s">
        <v>229</v>
      </c>
      <c r="B8" s="3" t="n">
        <f aca="false">COUNTIF('Test Cases'!$M$2:$M$15,"PASS")</f>
        <v>3</v>
      </c>
    </row>
    <row r="9" customFormat="false" ht="19.5" hidden="false" customHeight="true" outlineLevel="0" collapsed="false">
      <c r="A9" s="12" t="s">
        <v>230</v>
      </c>
      <c r="B9" s="3" t="n">
        <f aca="false">COUNTIF('Test Cases'!$M$2:$M$15,"FAIL")</f>
        <v>0</v>
      </c>
    </row>
    <row r="10" customFormat="false" ht="19.5" hidden="false" customHeight="true" outlineLevel="0" collapsed="false">
      <c r="A10" s="12" t="s">
        <v>231</v>
      </c>
      <c r="B10" s="3" t="n">
        <f aca="false">COUNTIF('Test Cases'!$M$2:$M$15,"BLOCKED")</f>
        <v>0</v>
      </c>
    </row>
    <row r="11" customFormat="false" ht="19.5" hidden="false" customHeight="true" outlineLevel="0" collapsed="false">
      <c r="A11" s="12" t="s">
        <v>232</v>
      </c>
      <c r="B11" s="3" t="n">
        <f aca="false">COUNTIF('Test Cases'!$M$2:$M$15,"NOT EXECUTED")</f>
        <v>11</v>
      </c>
    </row>
    <row r="12" customFormat="false" ht="19.5" hidden="false" customHeight="true" outlineLevel="0" collapsed="false">
      <c r="A12" s="12" t="s">
        <v>233</v>
      </c>
      <c r="B12" s="3" t="n">
        <f aca="false">B8+B9</f>
        <v>3</v>
      </c>
    </row>
    <row r="13" customFormat="false" ht="19.5" hidden="false" customHeight="true" outlineLevel="0" collapsed="false">
      <c r="A13" s="12" t="s">
        <v>234</v>
      </c>
      <c r="B13" s="13" t="n">
        <f aca="false">IF(B2=0,0,B12/B2)</f>
        <v>0.214285714285714</v>
      </c>
    </row>
    <row r="14" customFormat="false" ht="19.5" hidden="false" customHeight="true" outlineLevel="0" collapsed="false">
      <c r="A14" s="12" t="s">
        <v>235</v>
      </c>
      <c r="B14" s="3" t="str">
        <f aca="false">IF(B9&gt;0,"FAIL",IF(B10+B11&gt;0,"INCOMPLETE - "&amp;B11&amp;" not executed, "&amp;B10&amp;" blocked",IF(B8=B2,"PASS","CHECK STATUS VALUES")))</f>
        <v>INCOMPLETE - 11 not executed, 0 blocked</v>
      </c>
    </row>
    <row r="15" customFormat="false" ht="19.5" hidden="false" customHeight="true" outlineLevel="0" collapsed="false">
      <c r="A15" s="12" t="s">
        <v>236</v>
      </c>
      <c r="B15" s="3" t="str">
        <f aca="false">IF(B3+B4=B2,"OK","MISMATCH")</f>
        <v>OK</v>
      </c>
    </row>
    <row r="16" customFormat="false" ht="19.5" hidden="false" customHeight="true" outlineLevel="0" collapsed="false">
      <c r="A16" s="12" t="s">
        <v>237</v>
      </c>
      <c r="B16" s="3" t="str">
        <f aca="false">IF(B5+B6+B7=B2,"OK","MISMATCH")</f>
        <v>OK</v>
      </c>
    </row>
    <row r="17" customFormat="false" ht="19.5" hidden="false" customHeight="true" outlineLevel="0" collapsed="false">
      <c r="A17" s="12" t="s">
        <v>238</v>
      </c>
      <c r="B17" s="3" t="str">
        <f aca="false">IF(B8+B9+B10+B11=B2,"OK","MISMATCH")</f>
        <v>OK</v>
      </c>
    </row>
    <row r="18" customFormat="false" ht="19.5" hidden="false" customHeight="true" outlineLevel="0" collapsed="false">
      <c r="A18" s="12" t="s">
        <v>239</v>
      </c>
      <c r="B18" s="3" t="n">
        <f aca="false">COUNTA(RTM!$A$2:$A$15)</f>
        <v>14</v>
      </c>
    </row>
    <row r="19" customFormat="false" ht="19.5" hidden="false" customHeight="true" outlineLevel="0" collapsed="false">
      <c r="A19" s="12" t="s">
        <v>240</v>
      </c>
      <c r="B19" s="3" t="n">
        <f aca="false">SUMPRODUCT(--(COUNTIF('Test Cases'!$A$2:$A$15,RTM!$C$2:$C$15)=0))</f>
        <v>0</v>
      </c>
    </row>
    <row r="20" customFormat="false" ht="19.5" hidden="false" customHeight="true" outlineLevel="0" collapsed="false">
      <c r="A20" s="12" t="s">
        <v>241</v>
      </c>
      <c r="B20" s="3" t="n">
        <f aca="false">SUMPRODUCT(--(COUNTIF(RTM!$A$2:$A$15,'Test Cases'!$B$2:$B$15)=0))</f>
        <v>0</v>
      </c>
    </row>
    <row r="21" customFormat="false" ht="57.75" hidden="false" customHeight="true" outlineLevel="0" collapsed="false">
      <c r="A21" s="12" t="s">
        <v>242</v>
      </c>
      <c r="B21" s="3" t="s">
        <v>243</v>
      </c>
    </row>
    <row r="22" customFormat="false" ht="57.75" hidden="false" customHeight="true" outlineLevel="0" collapsed="false">
      <c r="A22" s="12" t="s">
        <v>244</v>
      </c>
      <c r="B22" s="3" t="s">
        <v>245</v>
      </c>
    </row>
    <row r="23" customFormat="false" ht="44.25" hidden="false" customHeight="true" outlineLevel="0" collapsed="false">
      <c r="A23" s="12" t="s">
        <v>246</v>
      </c>
      <c r="B23" s="3" t="s">
        <v>247</v>
      </c>
    </row>
  </sheetData>
  <autoFilter ref="A1:B23"/>
  <conditionalFormatting sqref="B14">
    <cfRule type="expression" priority="2" aboveAverage="0" equalAverage="0" bottom="0" percent="0" rank="0" text="" dxfId="7">
      <formula>LEFT($B$14,4)="PASS"</formula>
    </cfRule>
    <cfRule type="expression" priority="3" aboveAverage="0" equalAverage="0" bottom="0" percent="0" rank="0" text="" dxfId="8">
      <formula>LEFT($B$14,4)="FAIL"</formula>
    </cfRule>
    <cfRule type="expression" priority="4" aboveAverage="0" equalAverage="0" bottom="0" percent="0" rank="0" text="" dxfId="10">
      <formula>LEFT($B$14,10)="INCOMPLETE"</formula>
    </cfRule>
  </conditionalFormatting>
  <conditionalFormatting sqref="B15:B17">
    <cfRule type="cellIs" priority="5" operator="equal" aboveAverage="0" equalAverage="0" bottom="0" percent="0" rank="0" text="" dxfId="11">
      <formula>"OK"</formula>
    </cfRule>
    <cfRule type="cellIs" priority="6" operator="equal" aboveAverage="0" equalAverage="0" bottom="0" percent="0" rank="0" text="" dxfId="12">
      <formula>"MISMATCH"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62"/>
    <col collapsed="false" customWidth="true" hidden="false" outlineLevel="0" max="3" min="3" style="0" width="17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1</v>
      </c>
      <c r="B1" s="1" t="s">
        <v>248</v>
      </c>
      <c r="C1" s="1" t="s">
        <v>249</v>
      </c>
      <c r="D1" s="1" t="s">
        <v>250</v>
      </c>
    </row>
    <row r="2" customFormat="false" ht="30.75" hidden="false" customHeight="true" outlineLevel="0" collapsed="false">
      <c r="A2" s="2" t="s">
        <v>15</v>
      </c>
      <c r="B2" s="3" t="s">
        <v>251</v>
      </c>
      <c r="C2" s="2" t="s">
        <v>14</v>
      </c>
      <c r="D2" s="4" t="str">
        <f aca="false">INDEX('Test Cases'!$M$2:$M$15,MATCH(C2,'Test Cases'!$A$2:$A$15,0))</f>
        <v>NOT EXECUTED</v>
      </c>
    </row>
    <row r="3" customFormat="false" ht="30.75" hidden="false" customHeight="true" outlineLevel="0" collapsed="false">
      <c r="A3" s="2" t="s">
        <v>29</v>
      </c>
      <c r="B3" s="3" t="s">
        <v>252</v>
      </c>
      <c r="C3" s="2" t="s">
        <v>28</v>
      </c>
      <c r="D3" s="4" t="str">
        <f aca="false">INDEX('Test Cases'!$M$2:$M$15,MATCH(C3,'Test Cases'!$A$2:$A$15,0))</f>
        <v>NOT EXECUTED</v>
      </c>
    </row>
    <row r="4" customFormat="false" ht="19.5" hidden="false" customHeight="true" outlineLevel="0" collapsed="false">
      <c r="A4" s="2" t="s">
        <v>37</v>
      </c>
      <c r="B4" s="3" t="s">
        <v>253</v>
      </c>
      <c r="C4" s="2" t="s">
        <v>36</v>
      </c>
      <c r="D4" s="4" t="str">
        <f aca="false">INDEX('Test Cases'!$M$2:$M$15,MATCH(C4,'Test Cases'!$A$2:$A$15,0))</f>
        <v>NOT EXECUTED</v>
      </c>
    </row>
    <row r="5" customFormat="false" ht="19.5" hidden="false" customHeight="true" outlineLevel="0" collapsed="false">
      <c r="A5" s="2" t="s">
        <v>45</v>
      </c>
      <c r="B5" s="3" t="s">
        <v>254</v>
      </c>
      <c r="C5" s="2" t="s">
        <v>44</v>
      </c>
      <c r="D5" s="4" t="str">
        <f aca="false">INDEX('Test Cases'!$M$2:$M$15,MATCH(C5,'Test Cases'!$A$2:$A$15,0))</f>
        <v>NOT EXECUTED</v>
      </c>
    </row>
    <row r="6" customFormat="false" ht="19.5" hidden="false" customHeight="true" outlineLevel="0" collapsed="false">
      <c r="A6" s="2" t="s">
        <v>53</v>
      </c>
      <c r="B6" s="3" t="s">
        <v>255</v>
      </c>
      <c r="C6" s="2" t="s">
        <v>52</v>
      </c>
      <c r="D6" s="4" t="str">
        <f aca="false">INDEX('Test Cases'!$M$2:$M$15,MATCH(C6,'Test Cases'!$A$2:$A$15,0))</f>
        <v>NOT EXECUTED</v>
      </c>
    </row>
    <row r="7" customFormat="false" ht="30.75" hidden="false" customHeight="true" outlineLevel="0" collapsed="false">
      <c r="A7" s="2" t="s">
        <v>61</v>
      </c>
      <c r="B7" s="3" t="s">
        <v>256</v>
      </c>
      <c r="C7" s="2" t="s">
        <v>60</v>
      </c>
      <c r="D7" s="4" t="str">
        <f aca="false">INDEX('Test Cases'!$M$2:$M$15,MATCH(C7,'Test Cases'!$A$2:$A$15,0))</f>
        <v>PASS</v>
      </c>
    </row>
    <row r="8" customFormat="false" ht="19.5" hidden="false" customHeight="true" outlineLevel="0" collapsed="false">
      <c r="A8" s="2" t="s">
        <v>73</v>
      </c>
      <c r="B8" s="3" t="s">
        <v>257</v>
      </c>
      <c r="C8" s="2" t="s">
        <v>72</v>
      </c>
      <c r="D8" s="4" t="str">
        <f aca="false">INDEX('Test Cases'!$M$2:$M$15,MATCH(C8,'Test Cases'!$A$2:$A$15,0))</f>
        <v>PASS</v>
      </c>
    </row>
    <row r="9" customFormat="false" ht="19.5" hidden="false" customHeight="true" outlineLevel="0" collapsed="false">
      <c r="A9" s="2" t="s">
        <v>79</v>
      </c>
      <c r="B9" s="3" t="s">
        <v>258</v>
      </c>
      <c r="C9" s="2" t="s">
        <v>78</v>
      </c>
      <c r="D9" s="4" t="str">
        <f aca="false">INDEX('Test Cases'!$M$2:$M$15,MATCH(C9,'Test Cases'!$A$2:$A$15,0))</f>
        <v>PASS</v>
      </c>
    </row>
    <row r="10" customFormat="false" ht="19.5" hidden="false" customHeight="true" outlineLevel="0" collapsed="false">
      <c r="A10" s="2" t="s">
        <v>86</v>
      </c>
      <c r="B10" s="3" t="s">
        <v>259</v>
      </c>
      <c r="C10" s="2" t="s">
        <v>85</v>
      </c>
      <c r="D10" s="4" t="str">
        <f aca="false">INDEX('Test Cases'!$M$2:$M$15,MATCH(C10,'Test Cases'!$A$2:$A$15,0))</f>
        <v>NOT EXECUTED</v>
      </c>
    </row>
    <row r="11" customFormat="false" ht="19.5" hidden="false" customHeight="true" outlineLevel="0" collapsed="false">
      <c r="A11" s="2" t="s">
        <v>94</v>
      </c>
      <c r="B11" s="3" t="s">
        <v>260</v>
      </c>
      <c r="C11" s="2" t="s">
        <v>93</v>
      </c>
      <c r="D11" s="4" t="str">
        <f aca="false">INDEX('Test Cases'!$M$2:$M$15,MATCH(C11,'Test Cases'!$A$2:$A$15,0))</f>
        <v>NOT EXECUTED</v>
      </c>
    </row>
    <row r="12" customFormat="false" ht="19.5" hidden="false" customHeight="true" outlineLevel="0" collapsed="false">
      <c r="A12" s="2" t="s">
        <v>102</v>
      </c>
      <c r="B12" s="3" t="s">
        <v>261</v>
      </c>
      <c r="C12" s="2" t="s">
        <v>101</v>
      </c>
      <c r="D12" s="4" t="str">
        <f aca="false">INDEX('Test Cases'!$M$2:$M$15,MATCH(C12,'Test Cases'!$A$2:$A$15,0))</f>
        <v>NOT EXECUTED</v>
      </c>
    </row>
    <row r="13" customFormat="false" ht="19.5" hidden="false" customHeight="true" outlineLevel="0" collapsed="false">
      <c r="A13" s="2" t="s">
        <v>110</v>
      </c>
      <c r="B13" s="3" t="s">
        <v>262</v>
      </c>
      <c r="C13" s="2" t="s">
        <v>109</v>
      </c>
      <c r="D13" s="4" t="str">
        <f aca="false">INDEX('Test Cases'!$M$2:$M$15,MATCH(C13,'Test Cases'!$A$2:$A$15,0))</f>
        <v>NOT EXECUTED</v>
      </c>
    </row>
    <row r="14" customFormat="false" ht="19.5" hidden="false" customHeight="true" outlineLevel="0" collapsed="false">
      <c r="A14" s="2" t="s">
        <v>117</v>
      </c>
      <c r="B14" s="3" t="s">
        <v>263</v>
      </c>
      <c r="C14" s="2" t="s">
        <v>116</v>
      </c>
      <c r="D14" s="4" t="str">
        <f aca="false">INDEX('Test Cases'!$M$2:$M$15,MATCH(C14,'Test Cases'!$A$2:$A$15,0))</f>
        <v>NOT EXECUTED</v>
      </c>
    </row>
    <row r="15" customFormat="false" ht="19.5" hidden="false" customHeight="true" outlineLevel="0" collapsed="false">
      <c r="A15" s="2" t="s">
        <v>125</v>
      </c>
      <c r="B15" s="3" t="s">
        <v>264</v>
      </c>
      <c r="C15" s="2" t="s">
        <v>124</v>
      </c>
      <c r="D15" s="4" t="str">
        <f aca="false">INDEX('Test Cases'!$M$2:$M$15,MATCH(C15,'Test Cases'!$A$2:$A$15,0))</f>
        <v>NOT EXECUTED</v>
      </c>
    </row>
  </sheetData>
  <autoFilter ref="A1:D15"/>
  <conditionalFormatting sqref="D2:D15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0">
      <formula>"NOT 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2026-10-29T19:49:51Z</dcterms:created>
  <dc:creator>openpyxl</dc:creator>
  <dc:description/>
  <dc:language>en-US</dc:language>
  <cp:lastModifiedBy/>
  <dcterms:modified xsi:type="dcterms:W3CDTF">2026-10-29T19:49:51Z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