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RTM" sheetId="2" state="visible" r:id="rId4"/>
    <sheet name="Bugzilla" sheetId="3" state="visible" r:id="rId5"/>
    <sheet name="Execution" sheetId="4" state="visible" r:id="rId6"/>
    <sheet name="Summary" sheetId="5" state="visible" r:id="rId7"/>
  </sheets>
  <definedNames>
    <definedName function="false" hidden="true" localSheetId="2" name="_xlnm._FilterDatabase" vbProcedure="false">Bugzilla!$A$1:$C$20</definedName>
    <definedName function="false" hidden="true" localSheetId="3" name="_xlnm._FilterDatabase" vbProcedure="false">Execution!$A$1:$H$17</definedName>
    <definedName function="false" hidden="true" localSheetId="1" name="_xlnm._FilterDatabase" vbProcedure="false">RTM!$A$1:$F$5</definedName>
    <definedName function="false" hidden="true" localSheetId="4" name="_xlnm._FilterDatabase" vbProcedure="false">Summary!$A$1:$C$11</definedName>
    <definedName function="false" hidden="true" localSheetId="0" name="_xlnm._FilterDatabase" vbProcedure="false">'Test Cases'!$A$1:$V$5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<sst xmlns="http://schemas.openxmlformats.org/spreadsheetml/2006/main" count="332" uniqueCount="219">
  <si>
    <t xml:space="preserve">Test Case ID</t>
  </si>
  <si>
    <t xml:space="preserve">Requirement ID</t>
  </si>
  <si>
    <t xml:space="preserve">Module</t>
  </si>
  <si>
    <t xml:space="preserve">Feature Under Test</t>
  </si>
  <si>
    <t xml:space="preserve">Test Scenario</t>
  </si>
  <si>
    <t xml:space="preserve">Test Type</t>
  </si>
  <si>
    <t xml:space="preserve">Technique</t>
  </si>
  <si>
    <t xml:space="preserve">Priority</t>
  </si>
  <si>
    <t xml:space="preserve">Severity</t>
  </si>
  <si>
    <t xml:space="preserve">Preconditions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</si>
  <si>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</si>
  <si>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</si>
  <si>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</si>
  <si>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</si>
  <si>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Executed By</t>
  </si>
  <si>
    <t xml:space="preserve">Execution Date</t>
  </si>
  <si>
    <t xml:space="preserve">Test Objective</t>
  </si>
  <si>
    <t xml:space="preserve">Postconditions</t>
  </si>
  <si>
    <t xml:space="preserve">Test Environment</t>
  </si>
  <si>
    <t xml:space="preserve">Browser / OS</t>
  </si>
  <si>
    <t xml:space="preserve">Test Steps</t>
  </si>
  <si>
    <t xml:space="preserve">Evidence / Screenshot Reference</t>
  </si>
  <si>
    <t xml:space="preserve">TC001</t>
  </si>
  <si>
    <t xml:space="preserve">REQ-GFG-001</t>
  </si>
  <si>
    <t xml:space="preserve">Article Page</t>
  </si>
  <si>
    <t xml:space="preserve">Article content display</t>
  </si>
  <si>
    <t xml:space="preserve">Verify that a publicly accessible GeeksforGeeks article opens correctly</t>
  </si>
  <si>
    <t xml:space="preserve">System Testing (Functional)</t>
  </si>
  <si>
    <t xml:space="preserve">Black Box - Use-case based</t>
  </si>
  <si>
    <t xml:space="preserve">High</t>
  </si>
  <si>
    <t xml:space="preserve">Major</t>
  </si>
  <si>
    <t xml:space="preserve">Internet access; Chrome on Windows 11; no login required</t>
  </si>
  <si>
    <t xml:space="preserve">Article URL: https://www.geeksforgeeks.org/python/python-programming-language-tutorial/</t>
  </si>
  <si>
    <t xml:space="preserve">Article opens without error or login prompt; tab title and page heading show "Python Tutorial"; a "Last Updated" line and topic sections (e.g. Basics, Functions) are displayed</t>
  </si>
  <si>
    <t xml:space="preserve">Not executed - to be recorded during manual execution in Chrome</t>
  </si>
  <si>
    <t xml:space="preserve">Not Executed</t>
  </si>
  <si>
    <t xml:space="preserve">Pending (student to enter)</t>
  </si>
  <si>
    <t xml:space="preserve">Pending</t>
  </si>
  <si>
    <t xml:space="preserve">Confirm the selected article loads without login and shows its title, last-updated line and body sections</t>
  </si>
  <si>
    <t xml:space="preserve">No data modified; browser remains on the article page</t>
  </si>
  <si>
    <t xml:space="preserve">Public production website (no test server); internet access required</t>
  </si>
  <si>
    <t xml:space="preserve">Google Chrome (latest) / Windows 11</t>
  </si>
  <si>
    <t xml:space="preserve">1. Open Chrome and go to https://www.geeksforgeeks.org/. 2. Open the Python Tutorial article (Python link in the header menu, or enter the URL). 3. Check the browser-tab title and page heading. 4. Scroll through the body.</t>
  </si>
  <si>
    <t xml:space="preserve">Figure 2</t>
  </si>
  <si>
    <t xml:space="preserve">TC002</t>
  </si>
  <si>
    <t xml:space="preserve">REQ-GFG-002</t>
  </si>
  <si>
    <t xml:space="preserve">Site Search</t>
  </si>
  <si>
    <t xml:space="preserve">Search with a valid query</t>
  </si>
  <si>
    <t xml:space="preserve">Verify that the search feature returns relevant results for a valid query</t>
  </si>
  <si>
    <t xml:space="preserve">Black Box - Equivalence Partitioning (valid class)</t>
  </si>
  <si>
    <t xml:space="preserve">Homepage loaded; search control (magnifier icon in the header) visible; no login assumed. If search cannot be used without login or is not accessible, mark Blocked and record the reason</t>
  </si>
  <si>
    <t xml:space="preserve">Query: binary search</t>
  </si>
  <si>
    <t xml:space="preserve">Results are displayed without error; the top results relate to "binary search" (title or snippet contains the term or a close variant)</t>
  </si>
  <si>
    <t xml:space="preserve">Confirm that a valid keyword entered in the site search produces relevant results without an error</t>
  </si>
  <si>
    <t xml:space="preserve">No data modified; search results (or error) remain displayed</t>
  </si>
  <si>
    <t xml:space="preserve">1. Open https://www.geeksforgeeks.org/. 2. Click the search control in the header. 3. Type: binary search. 4. Press Enter. 5. Review the first five results.</t>
  </si>
  <si>
    <t xml:space="preserve">Figure 3</t>
  </si>
  <si>
    <t xml:space="preserve">TC003</t>
  </si>
  <si>
    <t xml:space="preserve">REQ-GFG-003</t>
  </si>
  <si>
    <t xml:space="preserve">Navigation - Practice</t>
  </si>
  <si>
    <t xml:space="preserve">Header navigation to Practice</t>
  </si>
  <si>
    <t xml:space="preserve">Verify that navigation from the homepage to the Practice section works correctly</t>
  </si>
  <si>
    <t xml:space="preserve">Black Box - State Transition (navigation)</t>
  </si>
  <si>
    <t xml:space="preserve">Medium</t>
  </si>
  <si>
    <t xml:space="preserve">Homepage loaded in Chrome; no login required to view the problem list (confirm during execution)</t>
  </si>
  <si>
    <t xml:space="preserve">Link: Practice Problems (header menu); expected target https://www.geeksforgeeks.org/explore</t>
  </si>
  <si>
    <t xml:space="preserve">Practice page opens; heading "Explore &amp; Practice" and a problem list with topic filters (e.g. Arrays, Strings) are displayed; Back returns to the homepage</t>
  </si>
  <si>
    <t xml:space="preserve">Confirm that the Practice link in the header opens the practice problem listing and Back returns to the homepage</t>
  </si>
  <si>
    <t xml:space="preserve">Browser history contains homepage and Practice page; no data modified</t>
  </si>
  <si>
    <t xml:space="preserve">1. Open https://www.geeksforgeeks.org/. 2. Click Practice Problems in the header menu. 3. Check the page heading, URL and problem list. 4. Click the browser Back button.</t>
  </si>
  <si>
    <t xml:space="preserve">Figure 4</t>
  </si>
  <si>
    <t xml:space="preserve">TC004</t>
  </si>
  <si>
    <t xml:space="preserve">REQ-GFG-004</t>
  </si>
  <si>
    <t xml:space="preserve">Authentication - Sign-In Form</t>
  </si>
  <si>
    <t xml:space="preserve">Sign-in input validation</t>
  </si>
  <si>
    <t xml:space="preserve">Verify the sign-in form's input validation for blank and malformed input</t>
  </si>
  <si>
    <t xml:space="preserve">System Testing (Functional / Negative)</t>
  </si>
  <si>
    <t xml:space="preserve">Black Box - Equivalence Partitioning and Boundary Value (invalid classes)</t>
  </si>
  <si>
    <t xml:space="preserve">Sign-in form reachable from the header without completing any CAPTCHA/OTP. If a CAPTCHA, OTP or social-login-only screen blocks access to the form, mark Blocked and record the reason</t>
  </si>
  <si>
    <t xml:space="preserve">Case A: blank username/email and blank password. Case B: email abc@ with dummy password Test@1234 (not a real account). No real credentials are used</t>
  </si>
  <si>
    <t xml:space="preserve">Form is not accepted; user is not signed in; the form gives visible feedback (message or highlighted field) for the blank / invalid input. Exact message wording is not asserted</t>
  </si>
  <si>
    <t xml:space="preserve">Confirm that the sign-in form does not accept blank or malformed input and does not sign the user in</t>
  </si>
  <si>
    <t xml:space="preserve">User remains signed out; no account is created or modified</t>
  </si>
  <si>
    <t xml:space="preserve">1. Open https://www.geeksforgeeks.org/ and click Sign In. 2. Case A: leave both fields blank and submit. 3. Case B: enter abc@ and Test@1234 and submit. 4. Confirm the header still shows a signed-out state.</t>
  </si>
  <si>
    <t xml:space="preserve">Figure 7 (additional)</t>
  </si>
  <si>
    <t xml:space="preserve">Requirement Description</t>
  </si>
  <si>
    <t xml:space="preserve">Test Status</t>
  </si>
  <si>
    <t xml:space="preserve">Coverage Status</t>
  </si>
  <si>
    <t xml:space="preserve">Requirement Source</t>
  </si>
  <si>
    <t xml:space="preserve">A public article page shall open without login and display its title, last-updated information and body content.</t>
  </si>
  <si>
    <t xml:space="preserve">Defined for this practical (not an official GeeksforGeeks specification)</t>
  </si>
  <si>
    <t xml:space="preserve">The site search shall accept a valid query and return relevant results.</t>
  </si>
  <si>
    <t xml:space="preserve">Header navigation shall allow a visitor to move from the homepage to the Practice section.</t>
  </si>
  <si>
    <t xml:space="preserve">The sign-in form shall not accept blank or malformed input and shall not sign the user in.</t>
  </si>
  <si>
    <t xml:space="preserve">Field</t>
  </si>
  <si>
    <t xml:space="preserve">Value</t>
  </si>
  <si>
    <t xml:space="preserve">Remarks</t>
  </si>
  <si>
    <t xml:space="preserve">Record Type</t>
  </si>
  <si>
    <t xml:space="preserve">HYPOTHETICAL TRAINING EXAMPLE - not an observed GeeksforGeeks defect</t>
  </si>
  <si>
    <t xml:space="preserve">Kept separate from actual execution results. Do not report this as a real issue.</t>
  </si>
  <si>
    <t xml:space="preserve">Bug ID</t>
  </si>
  <si>
    <t xml:space="preserve">BUG-HYP-001</t>
  </si>
  <si>
    <t xml:space="preserve">HYP = hypothetical. A real Bugzilla install assigns a numeric ID.</t>
  </si>
  <si>
    <t xml:space="preserve">Bug Summary</t>
  </si>
  <si>
    <t xml:space="preserve">Sign-in form shows no validation message for a malformed email address (hypothetical)</t>
  </si>
  <si>
    <t xml:space="preserve">Illustrates how a TC004 failure would be reported.</t>
  </si>
  <si>
    <t xml:space="preserve">Product / Project</t>
  </si>
  <si>
    <t xml:space="preserve">GeeksforGeeks - Bugzilla &amp; TestLink Testing (training project)</t>
  </si>
  <si>
    <t xml:space="preserve">Local training product in your own Bugzilla; not a GeeksforGeeks system.</t>
  </si>
  <si>
    <t xml:space="preserve">Component</t>
  </si>
  <si>
    <t xml:space="preserve">Sign-In Form</t>
  </si>
  <si>
    <t xml:space="preserve">Version</t>
  </si>
  <si>
    <t xml:space="preserve">Not applicable</t>
  </si>
  <si>
    <t xml:space="preserve">Live public website; no release/build version is known.</t>
  </si>
  <si>
    <t xml:space="preserve">Minor</t>
  </si>
  <si>
    <t xml:space="preserve">Hypothetical rating.</t>
  </si>
  <si>
    <t xml:space="preserve">P3</t>
  </si>
  <si>
    <t xml:space="preserve">Related Test Case</t>
  </si>
  <si>
    <t xml:space="preserve">TC004 / REQ-GFG-004</t>
  </si>
  <si>
    <t xml:space="preserve">TC004 itself is Not Executed; the link is illustrative.</t>
  </si>
  <si>
    <t xml:space="preserve">Description</t>
  </si>
  <si>
    <t xml:space="preserve">If the sign-in form accepted a malformed email such as abc@ without any visible feedback, the user would not know why sign-in failed.</t>
  </si>
  <si>
    <t xml:space="preserve">Hypothetical scenario only.</t>
  </si>
  <si>
    <t xml:space="preserve">Steps to Reproduce</t>
  </si>
  <si>
    <t xml:space="preserve">1. Open https://www.geeksforgeeks.org/ and click Sign In. 2. Enter abc@ as the email and Test@1234 as the password. 3. Submit the form.</t>
  </si>
  <si>
    <t xml:space="preserve">Same as TC004 Case B.</t>
  </si>
  <si>
    <t xml:space="preserve">Visible feedback that the email is invalid; user is not signed in.</t>
  </si>
  <si>
    <t xml:space="preserve">Hypothetical: no feedback is shown. NOT observed on the live site.</t>
  </si>
  <si>
    <t xml:space="preserve">Would be replaced by the genuinely observed behaviour if a real failure occurs.</t>
  </si>
  <si>
    <t xml:space="preserve">Environment</t>
  </si>
  <si>
    <t xml:space="preserve">Google Chrome (latest) / Windows 11; public production site</t>
  </si>
  <si>
    <t xml:space="preserve">Initial Status</t>
  </si>
  <si>
    <t xml:space="preserve">NEW (illustrative)</t>
  </si>
  <si>
    <t xml:space="preserve">A default Bugzilla install may start a bug as UNCONFIRMED.</t>
  </si>
  <si>
    <t xml:space="preserve">Assigned To</t>
  </si>
  <si>
    <t xml:space="preserve">developer@example.com (placeholder)</t>
  </si>
  <si>
    <t xml:space="preserve">Placeholder account.</t>
  </si>
  <si>
    <t xml:space="preserve">Retest Result</t>
  </si>
  <si>
    <t xml:space="preserve">Not applicable - hypothetical</t>
  </si>
  <si>
    <t xml:space="preserve">No fix exists, so no retest was performed.</t>
  </si>
  <si>
    <t xml:space="preserve">Final Status</t>
  </si>
  <si>
    <t xml:space="preserve">In a completed exercise the path would end in VERIFIED then CLOSED.</t>
  </si>
  <si>
    <t xml:space="preserve">Observed Defects From Execution</t>
  </si>
  <si>
    <t xml:space="preserve">0 - none logged</t>
  </si>
  <si>
    <t xml:space="preserve">No test case has been executed yet.</t>
  </si>
  <si>
    <t xml:space="preserve">Step No.</t>
  </si>
  <si>
    <t xml:space="preserve">Input</t>
  </si>
  <si>
    <t xml:space="preserve">Open Chrome and go to the GeeksforGeeks homepage</t>
  </si>
  <si>
    <t xml:space="preserve">https://www.geeksforgeeks.org/</t>
  </si>
  <si>
    <t xml:space="preserve">Homepage loads; header shows Courses, Tutorials and Practice entries</t>
  </si>
  <si>
    <t xml:space="preserve">Not executed - pending manual execution</t>
  </si>
  <si>
    <t xml:space="preserve">Figure 1</t>
  </si>
  <si>
    <t xml:space="preserve">Open the Python Tutorial article</t>
  </si>
  <si>
    <t xml:space="preserve">https://www.geeksforgeeks.org/python/python-programming-language-tutorial/</t>
  </si>
  <si>
    <t xml:space="preserve">Article page opens; no login prompt or error</t>
  </si>
  <si>
    <t xml:space="preserve">Check browser-tab title and page heading</t>
  </si>
  <si>
    <t xml:space="preserve">Tab title; page heading</t>
  </si>
  <si>
    <t xml:space="preserve">Title and heading show "Python Tutorial"</t>
  </si>
  <si>
    <t xml:space="preserve">Scroll through the article body</t>
  </si>
  <si>
    <t xml:space="preserve">Page body</t>
  </si>
  <si>
    <t xml:space="preserve">"Last Updated" line and topic sections (Basics, Functions, ...) are displayed</t>
  </si>
  <si>
    <t xml:space="preserve">Open homepage and locate the search control</t>
  </si>
  <si>
    <t xml:space="preserve">Header magnifier icon</t>
  </si>
  <si>
    <t xml:space="preserve">Search field is accessible without login</t>
  </si>
  <si>
    <t xml:space="preserve">Enter the query</t>
  </si>
  <si>
    <t xml:space="preserve">binary search</t>
  </si>
  <si>
    <t xml:space="preserve">Text appears in the search field</t>
  </si>
  <si>
    <t xml:space="preserve">Submit the query</t>
  </si>
  <si>
    <t xml:space="preserve">Enter key</t>
  </si>
  <si>
    <t xml:space="preserve">Search results are displayed; no error page</t>
  </si>
  <si>
    <t xml:space="preserve">Review the first five results</t>
  </si>
  <si>
    <t xml:space="preserve">Top 5 results</t>
  </si>
  <si>
    <t xml:space="preserve">Results relate to "binary search"</t>
  </si>
  <si>
    <t xml:space="preserve">Open the homepage</t>
  </si>
  <si>
    <t xml:space="preserve">Homepage loads</t>
  </si>
  <si>
    <t xml:space="preserve">Click Practice Problems in the header</t>
  </si>
  <si>
    <t xml:space="preserve">Practice Problems link</t>
  </si>
  <si>
    <t xml:space="preserve">Browser navigates to the Practice page (expected URL /explore)</t>
  </si>
  <si>
    <t xml:space="preserve">Check heading and problem list</t>
  </si>
  <si>
    <t xml:space="preserve">Heading; topic filters</t>
  </si>
  <si>
    <t xml:space="preserve">"Explore &amp; Practice" heading and problem list with topics displayed</t>
  </si>
  <si>
    <t xml:space="preserve">Click browser Back</t>
  </si>
  <si>
    <t xml:space="preserve">Back button</t>
  </si>
  <si>
    <t xml:space="preserve">Homepage is displayed again</t>
  </si>
  <si>
    <t xml:space="preserve">Not required</t>
  </si>
  <si>
    <t xml:space="preserve">Open the sign-in form</t>
  </si>
  <si>
    <t xml:space="preserve">Sign In button</t>
  </si>
  <si>
    <t xml:space="preserve">Form with username/email and password inputs is displayed</t>
  </si>
  <si>
    <t xml:space="preserve">Case A: submit with blank fields</t>
  </si>
  <si>
    <t xml:space="preserve">Blank / blank</t>
  </si>
  <si>
    <t xml:space="preserve">Not accepted; visible required-field feedback</t>
  </si>
  <si>
    <t xml:space="preserve">Case B: submit malformed email</t>
  </si>
  <si>
    <t xml:space="preserve">abc@ / Test@1234</t>
  </si>
  <si>
    <t xml:space="preserve">Not accepted; visible invalid-input feedback</t>
  </si>
  <si>
    <t xml:space="preserve">Confirm the user is still signed out</t>
  </si>
  <si>
    <t xml:space="preserve">Header state</t>
  </si>
  <si>
    <t xml:space="preserve">Signed-out state remains</t>
  </si>
  <si>
    <t xml:space="preserve">Metric</t>
  </si>
  <si>
    <t xml:space="preserve">Basis / Formula</t>
  </si>
  <si>
    <t xml:space="preserve">Total Test Cases Designed</t>
  </si>
  <si>
    <t xml:space="preserve">Count of test-case IDs on the Test Cases sheet</t>
  </si>
  <si>
    <t xml:space="preserve">Total Test Cases Executed</t>
  </si>
  <si>
    <t xml:space="preserve">Executed = Passed + Failed (Blocked tests could not be completed and are counted separately)</t>
  </si>
  <si>
    <t xml:space="preserve">Total Passed Test Cases</t>
  </si>
  <si>
    <t xml:space="preserve">Status = Pass</t>
  </si>
  <si>
    <t xml:space="preserve">Total Failed Test Cases</t>
  </si>
  <si>
    <t xml:space="preserve">Status = Fail</t>
  </si>
  <si>
    <t xml:space="preserve">Total Blocked Test Cases</t>
  </si>
  <si>
    <t xml:space="preserve">Status = Blocked</t>
  </si>
  <si>
    <t xml:space="preserve">Total Not Executed Test Cases</t>
  </si>
  <si>
    <t xml:space="preserve">Status = Not Executed</t>
  </si>
  <si>
    <t xml:space="preserve">Pass Percentage (%)</t>
  </si>
  <si>
    <t xml:space="preserve">Formula: Passed / Executed x 100. Denominator = Executed (not Designed)</t>
  </si>
  <si>
    <t xml:space="preserve">Fail Percentage (%)</t>
  </si>
  <si>
    <t xml:space="preserve">Formula: Failed / Executed x 100. Denominator = Executed (not Designed)</t>
  </si>
  <si>
    <t xml:space="preserve">Overall Test Status</t>
  </si>
  <si>
    <t xml:space="preserve">NOT EXECUTED = nothing run; FAIL = any failure; IN PROGRESS = no failure but tests remain; PASS = all designed tests passed</t>
  </si>
  <si>
    <t xml:space="preserve">Consistency Check</t>
  </si>
  <si>
    <t xml:space="preserve">Confirms every test case carries one valid status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</si>
</sst>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3A"/>
        <bgColor rgb="FF008080"/>
      </patternFill>
    </fill>
    <fill>
      <patternFill patternType="solid">
        <fgColor rgb="FFFFC7CE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6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F6F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9" min="8" style="0" width="10"/>
    <col collapsed="false" customWidth="true" hidden="false" outlineLevel="0" max="10" min="10" style="0" width="38"/>
    <col collapsed="false" customWidth="true" hidden="false" outlineLevel="0" max="11" min="11" style="0" width="34"/>
    <col collapsed="false" customWidth="true" hidden="false" outlineLevel="0" max="12" min="12" style="0" width="42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38"/>
    <col collapsed="false" customWidth="true" hidden="false" outlineLevel="0" max="18" min="18" style="0" width="30"/>
    <col collapsed="false" customWidth="true" hidden="false" outlineLevel="0" max="19" min="19" style="0" width="26"/>
    <col collapsed="false" customWidth="true" hidden="false" outlineLevel="0" max="20" min="20" style="0" width="24"/>
    <col collapsed="false" customWidth="true" hidden="false" outlineLevel="0" max="21" min="21" style="0" width="52"/>
    <col collapsed="false" customWidth="true" hidden="false" outlineLevel="0" max="22" min="22" style="0" width="18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46.2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 customFormat="false" ht="57.45" hidden="false" customHeight="false" outlineLevel="0" collapsed="false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27</v>
      </c>
      <c r="G3" s="2" t="s">
        <v>49</v>
      </c>
      <c r="H3" s="2" t="s">
        <v>29</v>
      </c>
      <c r="I3" s="2" t="s">
        <v>30</v>
      </c>
      <c r="J3" s="2" t="s">
        <v>50</v>
      </c>
      <c r="K3" s="2" t="s">
        <v>51</v>
      </c>
      <c r="L3" s="2" t="s">
        <v>52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53</v>
      </c>
      <c r="R3" s="2" t="s">
        <v>54</v>
      </c>
      <c r="S3" s="2" t="s">
        <v>40</v>
      </c>
      <c r="T3" s="2" t="s">
        <v>41</v>
      </c>
      <c r="U3" s="2" t="s">
        <v>55</v>
      </c>
      <c r="V3" s="2" t="s">
        <v>56</v>
      </c>
    </row>
    <row r="4" customFormat="false" ht="46.25" hidden="false" customHeight="false" outlineLevel="0" collapsed="false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27</v>
      </c>
      <c r="G4" s="2" t="s">
        <v>62</v>
      </c>
      <c r="H4" s="2" t="s">
        <v>63</v>
      </c>
      <c r="I4" s="2" t="s">
        <v>30</v>
      </c>
      <c r="J4" s="2" t="s">
        <v>64</v>
      </c>
      <c r="K4" s="2" t="s">
        <v>65</v>
      </c>
      <c r="L4" s="2" t="s">
        <v>66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67</v>
      </c>
      <c r="R4" s="2" t="s">
        <v>68</v>
      </c>
      <c r="S4" s="2" t="s">
        <v>40</v>
      </c>
      <c r="T4" s="2" t="s">
        <v>41</v>
      </c>
      <c r="U4" s="2" t="s">
        <v>69</v>
      </c>
      <c r="V4" s="2" t="s">
        <v>70</v>
      </c>
    </row>
    <row r="5" customFormat="false" ht="57.45" hidden="false" customHeight="false" outlineLevel="0" collapsed="false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29</v>
      </c>
      <c r="I5" s="2" t="s">
        <v>30</v>
      </c>
      <c r="J5" s="2" t="s">
        <v>78</v>
      </c>
      <c r="K5" s="2" t="s">
        <v>79</v>
      </c>
      <c r="L5" s="2" t="s">
        <v>80</v>
      </c>
      <c r="M5" s="2" t="s">
        <v>34</v>
      </c>
      <c r="N5" s="2" t="s">
        <v>35</v>
      </c>
      <c r="O5" s="2" t="s">
        <v>36</v>
      </c>
      <c r="P5" s="2" t="s">
        <v>37</v>
      </c>
      <c r="Q5" s="2" t="s">
        <v>81</v>
      </c>
      <c r="R5" s="2" t="s">
        <v>82</v>
      </c>
      <c r="S5" s="2" t="s">
        <v>40</v>
      </c>
      <c r="T5" s="2" t="s">
        <v>41</v>
      </c>
      <c r="U5" s="2" t="s">
        <v>83</v>
      </c>
      <c r="V5" s="2" t="s">
        <v>84</v>
      </c>
    </row>
  </sheetData>
  <autoFilter ref="A1:V5"/>
  <conditionalFormatting sqref="N2:N10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"Not Executed"</formula>
    </cfRule>
  </conditionalFormatting>
  <dataValidations count="1">
    <dataValidation allowBlank="false" error="Choose Pass, Fail, Blocked or Not Executed" errorStyle="stop" errorTitle="Invalid status" operator="between" showDropDown="false" showErrorMessage="true" showInputMessage="false" sqref="N2:N101" type="list">
      <formula1>"Pass,Fail,Blocked,Not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</v>
      </c>
      <c r="B1" s="1" t="s">
        <v>85</v>
      </c>
      <c r="C1" s="1" t="s">
        <v>0</v>
      </c>
      <c r="D1" s="1" t="s">
        <v>86</v>
      </c>
      <c r="E1" s="1" t="s">
        <v>87</v>
      </c>
      <c r="F1" s="1" t="s">
        <v>88</v>
      </c>
    </row>
    <row r="2" customFormat="false" ht="23.85" hidden="false" customHeight="false" outlineLevel="0" collapsed="false">
      <c r="A2" s="2" t="s">
        <v>23</v>
      </c>
      <c r="B2" s="2" t="s">
        <v>89</v>
      </c>
      <c r="C2" s="2" t="s">
        <v>22</v>
      </c>
      <c r="D2" s="2" t="str">
        <f aca="false">IFERROR(INDEX('Test Cases'!$N$2:$N$101,MATCH(C2,'Test Cases'!$A$2:$A$101,0)),"Missing test case")</f>
        <v>Not Executed</v>
      </c>
      <c r="E2" s="2" t="str">
        <f aca="false">IF(D2="Not Executed","Covered - execution pending",IF(D2="Pass","Covered - verified",IF(D2="Fail","Covered - defect found",IF(D2="Blocked","Covered - blocked","Not covered"))))</f>
        <v>Covered - execution pending</v>
      </c>
      <c r="F2" s="2" t="s">
        <v>90</v>
      </c>
    </row>
    <row r="3" customFormat="false" ht="23.85" hidden="false" customHeight="false" outlineLevel="0" collapsed="false">
      <c r="A3" s="2" t="s">
        <v>45</v>
      </c>
      <c r="B3" s="2" t="s">
        <v>91</v>
      </c>
      <c r="C3" s="2" t="s">
        <v>44</v>
      </c>
      <c r="D3" s="2" t="str">
        <f aca="false">IFERROR(INDEX('Test Cases'!$N$2:$N$101,MATCH(C3,'Test Cases'!$A$2:$A$101,0)),"Missing test case")</f>
        <v>Not Executed</v>
      </c>
      <c r="E3" s="2" t="str">
        <f aca="false">IF(D3="Not Executed","Covered - execution pending",IF(D3="Pass","Covered - verified",IF(D3="Fail","Covered - defect found",IF(D3="Blocked","Covered - blocked","Not covered"))))</f>
        <v>Covered - execution pending</v>
      </c>
      <c r="F3" s="2" t="s">
        <v>90</v>
      </c>
    </row>
    <row r="4" customFormat="false" ht="23.85" hidden="false" customHeight="false" outlineLevel="0" collapsed="false">
      <c r="A4" s="2" t="s">
        <v>58</v>
      </c>
      <c r="B4" s="2" t="s">
        <v>92</v>
      </c>
      <c r="C4" s="2" t="s">
        <v>57</v>
      </c>
      <c r="D4" s="2" t="str">
        <f aca="false">IFERROR(INDEX('Test Cases'!$N$2:$N$101,MATCH(C4,'Test Cases'!$A$2:$A$101,0)),"Missing test case")</f>
        <v>Not Executed</v>
      </c>
      <c r="E4" s="2" t="str">
        <f aca="false">IF(D4="Not Executed","Covered - execution pending",IF(D4="Pass","Covered - verified",IF(D4="Fail","Covered - defect found",IF(D4="Blocked","Covered - blocked","Not covered"))))</f>
        <v>Covered - execution pending</v>
      </c>
      <c r="F4" s="2" t="s">
        <v>90</v>
      </c>
    </row>
    <row r="5" customFormat="false" ht="23.85" hidden="false" customHeight="false" outlineLevel="0" collapsed="false">
      <c r="A5" s="2" t="s">
        <v>72</v>
      </c>
      <c r="B5" s="2" t="s">
        <v>93</v>
      </c>
      <c r="C5" s="2" t="s">
        <v>71</v>
      </c>
      <c r="D5" s="2" t="str">
        <f aca="false">IFERROR(INDEX('Test Cases'!$N$2:$N$101,MATCH(C5,'Test Cases'!$A$2:$A$101,0)),"Missing test case")</f>
        <v>Not Executed</v>
      </c>
      <c r="E5" s="2" t="str">
        <f aca="false">IF(D5="Not Executed","Covered - execution pending",IF(D5="Pass","Covered - verified",IF(D5="Fail","Covered - defect found",IF(D5="Blocked","Covered - blocked","Not covered"))))</f>
        <v>Covered - execution pending</v>
      </c>
      <c r="F5" s="2" t="s">
        <v>90</v>
      </c>
    </row>
  </sheetData>
  <autoFilter ref="A1:F5"/>
  <conditionalFormatting sqref="D2:D10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</row>
    <row r="2" customFormat="false" ht="23.85" hidden="false" customHeight="false" outlineLevel="0" collapsed="false">
      <c r="A2" s="2" t="s">
        <v>97</v>
      </c>
      <c r="B2" s="3" t="s">
        <v>98</v>
      </c>
      <c r="C2" s="2" t="s">
        <v>99</v>
      </c>
    </row>
    <row r="3" customFormat="false" ht="15" hidden="false" customHeight="false" outlineLevel="0" collapsed="false">
      <c r="A3" s="2" t="s">
        <v>100</v>
      </c>
      <c r="B3" s="2" t="s">
        <v>101</v>
      </c>
      <c r="C3" s="2" t="s">
        <v>102</v>
      </c>
    </row>
    <row r="4" customFormat="false" ht="23.85" hidden="false" customHeight="false" outlineLevel="0" collapsed="false">
      <c r="A4" s="2" t="s">
        <v>103</v>
      </c>
      <c r="B4" s="2" t="s">
        <v>104</v>
      </c>
      <c r="C4" s="2" t="s">
        <v>105</v>
      </c>
    </row>
    <row r="5" customFormat="false" ht="23.85" hidden="false" customHeight="false" outlineLevel="0" collapsed="false">
      <c r="A5" s="2" t="s">
        <v>106</v>
      </c>
      <c r="B5" s="2" t="s">
        <v>107</v>
      </c>
      <c r="C5" s="2" t="s">
        <v>108</v>
      </c>
    </row>
    <row r="6" customFormat="false" ht="15" hidden="false" customHeight="false" outlineLevel="0" collapsed="false">
      <c r="A6" s="2" t="s">
        <v>109</v>
      </c>
      <c r="B6" s="2" t="s">
        <v>110</v>
      </c>
      <c r="C6" s="2"/>
    </row>
    <row r="7" customFormat="false" ht="15" hidden="false" customHeight="false" outlineLevel="0" collapsed="false">
      <c r="A7" s="2" t="s">
        <v>111</v>
      </c>
      <c r="B7" s="2" t="s">
        <v>112</v>
      </c>
      <c r="C7" s="2" t="s">
        <v>113</v>
      </c>
    </row>
    <row r="8" customFormat="false" ht="15" hidden="false" customHeight="false" outlineLevel="0" collapsed="false">
      <c r="A8" s="2" t="s">
        <v>8</v>
      </c>
      <c r="B8" s="2" t="s">
        <v>114</v>
      </c>
      <c r="C8" s="2" t="s">
        <v>115</v>
      </c>
    </row>
    <row r="9" customFormat="false" ht="15" hidden="false" customHeight="false" outlineLevel="0" collapsed="false">
      <c r="A9" s="2" t="s">
        <v>7</v>
      </c>
      <c r="B9" s="2" t="s">
        <v>116</v>
      </c>
      <c r="C9" s="2" t="s">
        <v>115</v>
      </c>
    </row>
    <row r="10" customFormat="false" ht="15" hidden="false" customHeight="false" outlineLevel="0" collapsed="false">
      <c r="A10" s="2" t="s">
        <v>117</v>
      </c>
      <c r="B10" s="2" t="s">
        <v>118</v>
      </c>
      <c r="C10" s="2" t="s">
        <v>119</v>
      </c>
    </row>
    <row r="11" customFormat="false" ht="23.85" hidden="false" customHeight="false" outlineLevel="0" collapsed="false">
      <c r="A11" s="2" t="s">
        <v>120</v>
      </c>
      <c r="B11" s="2" t="s">
        <v>121</v>
      </c>
      <c r="C11" s="2" t="s">
        <v>122</v>
      </c>
    </row>
    <row r="12" customFormat="false" ht="23.85" hidden="false" customHeight="false" outlineLevel="0" collapsed="false">
      <c r="A12" s="2" t="s">
        <v>123</v>
      </c>
      <c r="B12" s="2" t="s">
        <v>124</v>
      </c>
      <c r="C12" s="2" t="s">
        <v>125</v>
      </c>
    </row>
    <row r="13" customFormat="false" ht="15" hidden="false" customHeight="false" outlineLevel="0" collapsed="false">
      <c r="A13" s="2" t="s">
        <v>11</v>
      </c>
      <c r="B13" s="2" t="s">
        <v>126</v>
      </c>
      <c r="C13" s="2"/>
    </row>
    <row r="14" customFormat="false" ht="23.85" hidden="false" customHeight="false" outlineLevel="0" collapsed="false">
      <c r="A14" s="2" t="s">
        <v>12</v>
      </c>
      <c r="B14" s="2" t="s">
        <v>127</v>
      </c>
      <c r="C14" s="2" t="s">
        <v>128</v>
      </c>
    </row>
    <row r="15" customFormat="false" ht="15" hidden="false" customHeight="false" outlineLevel="0" collapsed="false">
      <c r="A15" s="2" t="s">
        <v>129</v>
      </c>
      <c r="B15" s="2" t="s">
        <v>130</v>
      </c>
      <c r="C15" s="2"/>
    </row>
    <row r="16" customFormat="false" ht="15" hidden="false" customHeight="false" outlineLevel="0" collapsed="false">
      <c r="A16" s="2" t="s">
        <v>131</v>
      </c>
      <c r="B16" s="2" t="s">
        <v>132</v>
      </c>
      <c r="C16" s="2" t="s">
        <v>133</v>
      </c>
    </row>
    <row r="17" customFormat="false" ht="15" hidden="false" customHeight="false" outlineLevel="0" collapsed="false">
      <c r="A17" s="2" t="s">
        <v>134</v>
      </c>
      <c r="B17" s="2" t="s">
        <v>135</v>
      </c>
      <c r="C17" s="2" t="s">
        <v>136</v>
      </c>
    </row>
    <row r="18" customFormat="false" ht="15" hidden="false" customHeight="false" outlineLevel="0" collapsed="false">
      <c r="A18" s="2" t="s">
        <v>137</v>
      </c>
      <c r="B18" s="2" t="s">
        <v>138</v>
      </c>
      <c r="C18" s="2" t="s">
        <v>139</v>
      </c>
    </row>
    <row r="19" customFormat="false" ht="23.85" hidden="false" customHeight="false" outlineLevel="0" collapsed="false">
      <c r="A19" s="2" t="s">
        <v>140</v>
      </c>
      <c r="B19" s="2" t="s">
        <v>138</v>
      </c>
      <c r="C19" s="2" t="s">
        <v>141</v>
      </c>
    </row>
    <row r="20" customFormat="false" ht="15" hidden="false" customHeight="false" outlineLevel="0" collapsed="false">
      <c r="A20" s="2" t="s">
        <v>142</v>
      </c>
      <c r="B20" s="2" t="s">
        <v>143</v>
      </c>
      <c r="C20" s="2" t="s">
        <v>144</v>
      </c>
    </row>
  </sheetData>
  <autoFilter ref="A1:C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46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22"/>
  </cols>
  <sheetData>
    <row r="1" customFormat="false" ht="35.05" hidden="false" customHeight="false" outlineLevel="0" collapsed="false">
      <c r="A1" s="1" t="s">
        <v>145</v>
      </c>
      <c r="B1" s="1" t="s">
        <v>0</v>
      </c>
      <c r="C1" s="1" t="s">
        <v>20</v>
      </c>
      <c r="D1" s="1" t="s">
        <v>146</v>
      </c>
      <c r="E1" s="1" t="s">
        <v>11</v>
      </c>
      <c r="F1" s="1" t="s">
        <v>12</v>
      </c>
      <c r="G1" s="1" t="s">
        <v>13</v>
      </c>
      <c r="H1" s="1" t="s">
        <v>21</v>
      </c>
    </row>
    <row r="2" customFormat="false" ht="23.85" hidden="false" customHeight="false" outlineLevel="0" collapsed="false">
      <c r="A2" s="2" t="n">
        <v>1</v>
      </c>
      <c r="B2" s="2" t="s">
        <v>22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35</v>
      </c>
      <c r="H2" s="2" t="s">
        <v>151</v>
      </c>
    </row>
    <row r="3" customFormat="false" ht="23.85" hidden="false" customHeight="false" outlineLevel="0" collapsed="false">
      <c r="A3" s="2" t="n">
        <v>2</v>
      </c>
      <c r="B3" s="2" t="s">
        <v>22</v>
      </c>
      <c r="C3" s="2" t="s">
        <v>152</v>
      </c>
      <c r="D3" s="2" t="s">
        <v>153</v>
      </c>
      <c r="E3" s="2" t="s">
        <v>154</v>
      </c>
      <c r="F3" s="2" t="s">
        <v>150</v>
      </c>
      <c r="G3" s="2" t="s">
        <v>35</v>
      </c>
      <c r="H3" s="2" t="s">
        <v>43</v>
      </c>
    </row>
    <row r="4" customFormat="false" ht="23.85" hidden="false" customHeight="false" outlineLevel="0" collapsed="false">
      <c r="A4" s="2" t="n">
        <v>3</v>
      </c>
      <c r="B4" s="2" t="s">
        <v>22</v>
      </c>
      <c r="C4" s="2" t="s">
        <v>155</v>
      </c>
      <c r="D4" s="2" t="s">
        <v>156</v>
      </c>
      <c r="E4" s="2" t="s">
        <v>157</v>
      </c>
      <c r="F4" s="2" t="s">
        <v>150</v>
      </c>
      <c r="G4" s="2" t="s">
        <v>35</v>
      </c>
      <c r="H4" s="2" t="s">
        <v>43</v>
      </c>
    </row>
    <row r="5" customFormat="false" ht="23.85" hidden="false" customHeight="false" outlineLevel="0" collapsed="false">
      <c r="A5" s="2" t="n">
        <v>4</v>
      </c>
      <c r="B5" s="2" t="s">
        <v>22</v>
      </c>
      <c r="C5" s="2" t="s">
        <v>158</v>
      </c>
      <c r="D5" s="2" t="s">
        <v>159</v>
      </c>
      <c r="E5" s="2" t="s">
        <v>160</v>
      </c>
      <c r="F5" s="2" t="s">
        <v>150</v>
      </c>
      <c r="G5" s="2" t="s">
        <v>35</v>
      </c>
      <c r="H5" s="2" t="s">
        <v>43</v>
      </c>
    </row>
    <row r="6" customFormat="false" ht="23.85" hidden="false" customHeight="false" outlineLevel="0" collapsed="false">
      <c r="A6" s="2" t="n">
        <v>5</v>
      </c>
      <c r="B6" s="2" t="s">
        <v>44</v>
      </c>
      <c r="C6" s="2" t="s">
        <v>161</v>
      </c>
      <c r="D6" s="2" t="s">
        <v>162</v>
      </c>
      <c r="E6" s="2" t="s">
        <v>163</v>
      </c>
      <c r="F6" s="2" t="s">
        <v>150</v>
      </c>
      <c r="G6" s="2" t="s">
        <v>35</v>
      </c>
      <c r="H6" s="2" t="s">
        <v>56</v>
      </c>
    </row>
    <row r="7" customFormat="false" ht="23.85" hidden="false" customHeight="false" outlineLevel="0" collapsed="false">
      <c r="A7" s="2" t="n">
        <v>6</v>
      </c>
      <c r="B7" s="2" t="s">
        <v>44</v>
      </c>
      <c r="C7" s="2" t="s">
        <v>164</v>
      </c>
      <c r="D7" s="2" t="s">
        <v>165</v>
      </c>
      <c r="E7" s="2" t="s">
        <v>166</v>
      </c>
      <c r="F7" s="2" t="s">
        <v>150</v>
      </c>
      <c r="G7" s="2" t="s">
        <v>35</v>
      </c>
      <c r="H7" s="2" t="s">
        <v>56</v>
      </c>
    </row>
    <row r="8" customFormat="false" ht="23.85" hidden="false" customHeight="false" outlineLevel="0" collapsed="false">
      <c r="A8" s="2" t="n">
        <v>7</v>
      </c>
      <c r="B8" s="2" t="s">
        <v>44</v>
      </c>
      <c r="C8" s="2" t="s">
        <v>167</v>
      </c>
      <c r="D8" s="2" t="s">
        <v>168</v>
      </c>
      <c r="E8" s="2" t="s">
        <v>169</v>
      </c>
      <c r="F8" s="2" t="s">
        <v>150</v>
      </c>
      <c r="G8" s="2" t="s">
        <v>35</v>
      </c>
      <c r="H8" s="2" t="s">
        <v>56</v>
      </c>
    </row>
    <row r="9" customFormat="false" ht="23.85" hidden="false" customHeight="false" outlineLevel="0" collapsed="false">
      <c r="A9" s="2" t="n">
        <v>8</v>
      </c>
      <c r="B9" s="2" t="s">
        <v>44</v>
      </c>
      <c r="C9" s="2" t="s">
        <v>170</v>
      </c>
      <c r="D9" s="2" t="s">
        <v>171</v>
      </c>
      <c r="E9" s="2" t="s">
        <v>172</v>
      </c>
      <c r="F9" s="2" t="s">
        <v>150</v>
      </c>
      <c r="G9" s="2" t="s">
        <v>35</v>
      </c>
      <c r="H9" s="2" t="s">
        <v>56</v>
      </c>
    </row>
    <row r="10" customFormat="false" ht="23.85" hidden="false" customHeight="false" outlineLevel="0" collapsed="false">
      <c r="A10" s="2" t="n">
        <v>9</v>
      </c>
      <c r="B10" s="2" t="s">
        <v>57</v>
      </c>
      <c r="C10" s="2" t="s">
        <v>173</v>
      </c>
      <c r="D10" s="2" t="s">
        <v>148</v>
      </c>
      <c r="E10" s="2" t="s">
        <v>174</v>
      </c>
      <c r="F10" s="2" t="s">
        <v>150</v>
      </c>
      <c r="G10" s="2" t="s">
        <v>35</v>
      </c>
      <c r="H10" s="2" t="s">
        <v>151</v>
      </c>
    </row>
    <row r="11" customFormat="false" ht="23.85" hidden="false" customHeight="false" outlineLevel="0" collapsed="false">
      <c r="A11" s="2" t="n">
        <v>10</v>
      </c>
      <c r="B11" s="2" t="s">
        <v>57</v>
      </c>
      <c r="C11" s="2" t="s">
        <v>175</v>
      </c>
      <c r="D11" s="2" t="s">
        <v>176</v>
      </c>
      <c r="E11" s="2" t="s">
        <v>177</v>
      </c>
      <c r="F11" s="2" t="s">
        <v>150</v>
      </c>
      <c r="G11" s="2" t="s">
        <v>35</v>
      </c>
      <c r="H11" s="2" t="s">
        <v>70</v>
      </c>
    </row>
    <row r="12" customFormat="false" ht="23.85" hidden="false" customHeight="false" outlineLevel="0" collapsed="false">
      <c r="A12" s="2" t="n">
        <v>11</v>
      </c>
      <c r="B12" s="2" t="s">
        <v>57</v>
      </c>
      <c r="C12" s="2" t="s">
        <v>178</v>
      </c>
      <c r="D12" s="2" t="s">
        <v>179</v>
      </c>
      <c r="E12" s="2" t="s">
        <v>180</v>
      </c>
      <c r="F12" s="2" t="s">
        <v>150</v>
      </c>
      <c r="G12" s="2" t="s">
        <v>35</v>
      </c>
      <c r="H12" s="2" t="s">
        <v>70</v>
      </c>
    </row>
    <row r="13" customFormat="false" ht="23.85" hidden="false" customHeight="false" outlineLevel="0" collapsed="false">
      <c r="A13" s="2" t="n">
        <v>12</v>
      </c>
      <c r="B13" s="2" t="s">
        <v>57</v>
      </c>
      <c r="C13" s="2" t="s">
        <v>181</v>
      </c>
      <c r="D13" s="2" t="s">
        <v>182</v>
      </c>
      <c r="E13" s="2" t="s">
        <v>183</v>
      </c>
      <c r="F13" s="2" t="s">
        <v>150</v>
      </c>
      <c r="G13" s="2" t="s">
        <v>35</v>
      </c>
      <c r="H13" s="2" t="s">
        <v>184</v>
      </c>
    </row>
    <row r="14" customFormat="false" ht="23.85" hidden="false" customHeight="false" outlineLevel="0" collapsed="false">
      <c r="A14" s="2" t="n">
        <v>13</v>
      </c>
      <c r="B14" s="2" t="s">
        <v>71</v>
      </c>
      <c r="C14" s="2" t="s">
        <v>185</v>
      </c>
      <c r="D14" s="2" t="s">
        <v>186</v>
      </c>
      <c r="E14" s="2" t="s">
        <v>187</v>
      </c>
      <c r="F14" s="2" t="s">
        <v>150</v>
      </c>
      <c r="G14" s="2" t="s">
        <v>35</v>
      </c>
      <c r="H14" s="2" t="s">
        <v>84</v>
      </c>
    </row>
    <row r="15" customFormat="false" ht="23.85" hidden="false" customHeight="false" outlineLevel="0" collapsed="false">
      <c r="A15" s="2" t="n">
        <v>14</v>
      </c>
      <c r="B15" s="2" t="s">
        <v>71</v>
      </c>
      <c r="C15" s="2" t="s">
        <v>188</v>
      </c>
      <c r="D15" s="2" t="s">
        <v>189</v>
      </c>
      <c r="E15" s="2" t="s">
        <v>190</v>
      </c>
      <c r="F15" s="2" t="s">
        <v>150</v>
      </c>
      <c r="G15" s="2" t="s">
        <v>35</v>
      </c>
      <c r="H15" s="2" t="s">
        <v>84</v>
      </c>
    </row>
    <row r="16" customFormat="false" ht="23.85" hidden="false" customHeight="false" outlineLevel="0" collapsed="false">
      <c r="A16" s="2" t="n">
        <v>15</v>
      </c>
      <c r="B16" s="2" t="s">
        <v>71</v>
      </c>
      <c r="C16" s="2" t="s">
        <v>191</v>
      </c>
      <c r="D16" s="2" t="s">
        <v>192</v>
      </c>
      <c r="E16" s="2" t="s">
        <v>193</v>
      </c>
      <c r="F16" s="2" t="s">
        <v>150</v>
      </c>
      <c r="G16" s="2" t="s">
        <v>35</v>
      </c>
      <c r="H16" s="2" t="s">
        <v>84</v>
      </c>
    </row>
    <row r="17" customFormat="false" ht="23.85" hidden="false" customHeight="false" outlineLevel="0" collapsed="false">
      <c r="A17" s="2" t="n">
        <v>16</v>
      </c>
      <c r="B17" s="2" t="s">
        <v>71</v>
      </c>
      <c r="C17" s="2" t="s">
        <v>194</v>
      </c>
      <c r="D17" s="2" t="s">
        <v>195</v>
      </c>
      <c r="E17" s="2" t="s">
        <v>196</v>
      </c>
      <c r="F17" s="2" t="s">
        <v>150</v>
      </c>
      <c r="G17" s="2" t="s">
        <v>35</v>
      </c>
      <c r="H17" s="2" t="s">
        <v>84</v>
      </c>
    </row>
  </sheetData>
  <autoFilter ref="A1:H17"/>
  <conditionalFormatting sqref="G2:G10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"Not Executed"</formula>
    </cfRule>
  </conditionalFormatting>
  <dataValidations count="1">
    <dataValidation allowBlank="false" errorStyle="stop" operator="between" showDropDown="false" showErrorMessage="true" showInputMessage="false" sqref="G2:G101" type="list">
      <formula1>"Pass,Fail,Blocked,Not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197</v>
      </c>
      <c r="B1" s="1" t="s">
        <v>95</v>
      </c>
      <c r="C1" s="1" t="s">
        <v>198</v>
      </c>
    </row>
    <row r="2" customFormat="false" ht="15" hidden="false" customHeight="false" outlineLevel="0" collapsed="false">
      <c r="A2" s="4" t="s">
        <v>199</v>
      </c>
      <c r="B2" s="5" t="n">
        <f aca="false">COUNTA('Test Cases'!$A$2:$A$101)</f>
        <v>4</v>
      </c>
      <c r="C2" s="2" t="s">
        <v>200</v>
      </c>
    </row>
    <row r="3" customFormat="false" ht="15" hidden="false" customHeight="false" outlineLevel="0" collapsed="false">
      <c r="A3" s="4" t="s">
        <v>201</v>
      </c>
      <c r="B3" s="5" t="n">
        <f aca="false">B4+B5</f>
        <v>0</v>
      </c>
      <c r="C3" s="2" t="s">
        <v>202</v>
      </c>
    </row>
    <row r="4" customFormat="false" ht="15" hidden="false" customHeight="false" outlineLevel="0" collapsed="false">
      <c r="A4" s="4" t="s">
        <v>203</v>
      </c>
      <c r="B4" s="5" t="n">
        <f aca="false">COUNTIF('Test Cases'!$N$2:$N$101,"Pass")</f>
        <v>0</v>
      </c>
      <c r="C4" s="2" t="s">
        <v>204</v>
      </c>
    </row>
    <row r="5" customFormat="false" ht="15" hidden="false" customHeight="false" outlineLevel="0" collapsed="false">
      <c r="A5" s="4" t="s">
        <v>205</v>
      </c>
      <c r="B5" s="5" t="n">
        <f aca="false">COUNTIF('Test Cases'!$N$2:$N$101,"Fail")</f>
        <v>0</v>
      </c>
      <c r="C5" s="2" t="s">
        <v>206</v>
      </c>
    </row>
    <row r="6" customFormat="false" ht="15" hidden="false" customHeight="false" outlineLevel="0" collapsed="false">
      <c r="A6" s="4" t="s">
        <v>207</v>
      </c>
      <c r="B6" s="5" t="n">
        <f aca="false">COUNTIF('Test Cases'!$N$2:$N$101,"Blocked")</f>
        <v>0</v>
      </c>
      <c r="C6" s="2" t="s">
        <v>208</v>
      </c>
    </row>
    <row r="7" customFormat="false" ht="15" hidden="false" customHeight="false" outlineLevel="0" collapsed="false">
      <c r="A7" s="4" t="s">
        <v>209</v>
      </c>
      <c r="B7" s="5" t="n">
        <f aca="false">COUNTIF('Test Cases'!$N$2:$N$101,"Not Executed")</f>
        <v>4</v>
      </c>
      <c r="C7" s="2" t="s">
        <v>210</v>
      </c>
    </row>
    <row r="8" customFormat="false" ht="15" hidden="false" customHeight="false" outlineLevel="0" collapsed="false">
      <c r="A8" s="4" t="s">
        <v>211</v>
      </c>
      <c r="B8" s="6" t="str">
        <f aca="false">IF(B3=0,"N/A - no tests executed",B4/B3)</f>
        <v>N/A - no tests executed</v>
      </c>
      <c r="C8" s="2" t="s">
        <v>212</v>
      </c>
    </row>
    <row r="9" customFormat="false" ht="15" hidden="false" customHeight="false" outlineLevel="0" collapsed="false">
      <c r="A9" s="4" t="s">
        <v>213</v>
      </c>
      <c r="B9" s="6" t="str">
        <f aca="false">IF(B3=0,"N/A - no tests executed",B5/B3)</f>
        <v>N/A - no tests executed</v>
      </c>
      <c r="C9" s="2" t="s">
        <v>214</v>
      </c>
    </row>
    <row r="10" customFormat="false" ht="23.85" hidden="false" customHeight="false" outlineLevel="0" collapsed="false">
      <c r="A10" s="4" t="s">
        <v>215</v>
      </c>
      <c r="B10" s="7" t="str">
        <f aca="false">IF(B2=0,"NO TESTS DESIGNED",IF(B3+B6=0,"NOT EXECUTED",IF(B5&gt;0,"FAIL",IF(B3&lt;B2,"IN PROGRESS","PASS"))))</f>
        <v>NOT EXECUTED</v>
      </c>
      <c r="C10" s="2" t="s">
        <v>216</v>
      </c>
    </row>
    <row r="11" customFormat="false" ht="23.85" hidden="false" customHeight="false" outlineLevel="0" collapsed="false">
      <c r="A11" s="4" t="s">
        <v>217</v>
      </c>
      <c r="B11" s="8" t="str">
        <f aca="false">IF(B3+B6+B7=B2,"OK - Passed + Failed + Blocked + Not Executed = Designed","CHECK - statuses do not add up to Designed")</f>
        <v>OK - Passed + Failed + Blocked + Not Executed = Designed</v>
      </c>
      <c r="C11" s="2" t="s">
        <v>218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2026-10-29T18:01:57Z</dcterms:created>
  <dc:creator>openpyxl</dc:creator>
  <dc:description/>
  <dc:language>en-US</dc:language>
  <cp:lastModifiedBy/>
  <dcterms:modified xsi:type="dcterms:W3CDTF">2026-10-29T18:01:57Z</dcterms:modified>
  <cp:revision>0</cp:revision>
  <dc:subject/>
  <dc:title>GeeksforGeeks Tutorial 8 Test Cases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